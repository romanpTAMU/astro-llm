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ember 2025 (2nd-16th)" sheetId="1" state="visible" r:id="rId1"/>
    <sheet name="December 2025 (16th-2nd)" sheetId="2" state="visible" r:id="rId2"/>
    <sheet name="January 2026 (2nd-16th)" sheetId="3" state="visible" r:id="rId3"/>
    <sheet name="January 2026 (16th-2n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  <c r="C1" t="inlineStr">
        <is>
          <t>Return</t>
        </is>
      </c>
      <c r="G1" s="1" t="n">
        <v>45992</v>
      </c>
      <c r="H1" s="1" t="n">
        <v>46007</v>
      </c>
    </row>
    <row r="2">
      <c r="A2" t="inlineStr">
        <is>
          <t>META</t>
        </is>
      </c>
      <c r="B2" t="n">
        <v>0.1</v>
      </c>
      <c r="C2">
        <f>INDEX(TRANSPOSE(STOCKHISTORY(A2,$G$1,$H$1,0,0,1)/STOCKHISTORY(A2,$G$1,$G$1,0,0,1)),1,COLUMNS(TRANSPOSE(STOCKHISTORY(A2,$G$1,$H$1,0,0,1)/STOCKHISTORY(A2,$G$1,$G$1,0,0,1))))</f>
        <v/>
      </c>
      <c r="D2">
        <f>TRANSPOSE(STOCKHISTORY(A2,$G$1,$H$1,0,0,1)/STOCKHISTORY(A2,$G$1,$G$1,0,0,1))</f>
        <v/>
      </c>
    </row>
    <row r="3">
      <c r="A3" t="inlineStr">
        <is>
          <t>FSLR</t>
        </is>
      </c>
      <c r="B3" t="n">
        <v>0.1</v>
      </c>
      <c r="C3">
        <f>INDEX(TRANSPOSE(STOCKHISTORY(A3,$G$1,$H$1,0,0,1)/STOCKHISTORY(A3,$G$1,$G$1,0,0,1)),1,COLUMNS(TRANSPOSE(STOCKHISTORY(A3,$G$1,$H$1,0,0,1)/STOCKHISTORY(A3,$G$1,$G$1,0,0,1))))</f>
        <v/>
      </c>
      <c r="D3">
        <f>TRANSPOSE(STOCKHISTORY(A3,$G$1,$H$1,0,0,1)/STOCKHISTORY(A3,$G$1,$G$1,0,0,1))</f>
        <v/>
      </c>
    </row>
    <row r="4">
      <c r="A4" t="inlineStr">
        <is>
          <t>NVDA</t>
        </is>
      </c>
      <c r="B4" t="n">
        <v>0.09</v>
      </c>
      <c r="C4">
        <f>INDEX(TRANSPOSE(STOCKHISTORY(A4,$G$1,$H$1,0,0,1)/STOCKHISTORY(A4,$G$1,$G$1,0,0,1)),1,COLUMNS(TRANSPOSE(STOCKHISTORY(A4,$G$1,$H$1,0,0,1)/STOCKHISTORY(A4,$G$1,$G$1,0,0,1))))</f>
        <v/>
      </c>
      <c r="D4">
        <f>TRANSPOSE(STOCKHISTORY(A4,$G$1,$H$1,0,0,1)/STOCKHISTORY(A4,$G$1,$G$1,0,0,1))</f>
        <v/>
      </c>
    </row>
    <row r="5">
      <c r="A5" t="inlineStr">
        <is>
          <t>MRK</t>
        </is>
      </c>
      <c r="B5" t="n">
        <v>0.08</v>
      </c>
      <c r="C5">
        <f>INDEX(TRANSPOSE(STOCKHISTORY(A5,$G$1,$H$1,0,0,1)/STOCKHISTORY(A5,$G$1,$G$1,0,0,1)),1,COLUMNS(TRANSPOSE(STOCKHISTORY(A5,$G$1,$H$1,0,0,1)/STOCKHISTORY(A5,$G$1,$G$1,0,0,1))))</f>
        <v/>
      </c>
      <c r="D5">
        <f>TRANSPOSE(STOCKHISTORY(A5,$G$1,$H$1,0,0,1)/STOCKHISTORY(A5,$G$1,$G$1,0,0,1))</f>
        <v/>
      </c>
    </row>
    <row r="6">
      <c r="A6" t="inlineStr">
        <is>
          <t>NFLX</t>
        </is>
      </c>
      <c r="B6" t="n">
        <v>0.08</v>
      </c>
      <c r="C6">
        <f>INDEX(TRANSPOSE(STOCKHISTORY(A6,$G$1,$H$1,0,0,1)/STOCKHISTORY(A6,$G$1,$G$1,0,0,1)),1,COLUMNS(TRANSPOSE(STOCKHISTORY(A6,$G$1,$H$1,0,0,1)/STOCKHISTORY(A6,$G$1,$G$1,0,0,1))))</f>
        <v/>
      </c>
      <c r="D6">
        <f>TRANSPOSE(STOCKHISTORY(A6,$G$1,$H$1,0,0,1)/STOCKHISTORY(A6,$G$1,$G$1,0,0,1))</f>
        <v/>
      </c>
    </row>
    <row r="7">
      <c r="A7" t="inlineStr">
        <is>
          <t>GOOGL</t>
        </is>
      </c>
      <c r="B7" t="n">
        <v>0.07000000000000001</v>
      </c>
      <c r="C7">
        <f>INDEX(TRANSPOSE(STOCKHISTORY(A7,$G$1,$H$1,0,0,1)/STOCKHISTORY(A7,$G$1,$G$1,0,0,1)),1,COLUMNS(TRANSPOSE(STOCKHISTORY(A7,$G$1,$H$1,0,0,1)/STOCKHISTORY(A7,$G$1,$G$1,0,0,1))))</f>
        <v/>
      </c>
      <c r="D7">
        <f>TRANSPOSE(STOCKHISTORY(A7,$G$1,$H$1,0,0,1)/STOCKHISTORY(A7,$G$1,$G$1,0,0,1))</f>
        <v/>
      </c>
    </row>
    <row r="8">
      <c r="A8" t="inlineStr">
        <is>
          <t>MSFT</t>
        </is>
      </c>
      <c r="B8" t="n">
        <v>0.06</v>
      </c>
      <c r="C8">
        <f>INDEX(TRANSPOSE(STOCKHISTORY(A8,$G$1,$H$1,0,0,1)/STOCKHISTORY(A8,$G$1,$G$1,0,0,1)),1,COLUMNS(TRANSPOSE(STOCKHISTORY(A8,$G$1,$H$1,0,0,1)/STOCKHISTORY(A8,$G$1,$G$1,0,0,1))))</f>
        <v/>
      </c>
      <c r="D8">
        <f>TRANSPOSE(STOCKHISTORY(A8,$G$1,$H$1,0,0,1)/STOCKHISTORY(A8,$G$1,$G$1,0,0,1))</f>
        <v/>
      </c>
    </row>
    <row r="9">
      <c r="A9" t="inlineStr">
        <is>
          <t>MA</t>
        </is>
      </c>
      <c r="B9" t="n">
        <v>0.05</v>
      </c>
      <c r="C9">
        <f>INDEX(TRANSPOSE(STOCKHISTORY(A9,$G$1,$H$1,0,0,1)/STOCKHISTORY(A9,$G$1,$G$1,0,0,1)),1,COLUMNS(TRANSPOSE(STOCKHISTORY(A9,$G$1,$H$1,0,0,1)/STOCKHISTORY(A9,$G$1,$G$1,0,0,1))))</f>
        <v/>
      </c>
      <c r="D9">
        <f>TRANSPOSE(STOCKHISTORY(A9,$G$1,$H$1,0,0,1)/STOCKHISTORY(A9,$G$1,$G$1,0,0,1))</f>
        <v/>
      </c>
    </row>
    <row r="10">
      <c r="A10" t="inlineStr">
        <is>
          <t>V</t>
        </is>
      </c>
      <c r="B10" t="n">
        <v>0.05</v>
      </c>
      <c r="C10">
        <f>INDEX(TRANSPOSE(STOCKHISTORY(A10,$G$1,$H$1,0,0,1)/STOCKHISTORY(A10,$G$1,$G$1,0,0,1)),1,COLUMNS(TRANSPOSE(STOCKHISTORY(A10,$G$1,$H$1,0,0,1)/STOCKHISTORY(A10,$G$1,$G$1,0,0,1))))</f>
        <v/>
      </c>
      <c r="D10">
        <f>TRANSPOSE(STOCKHISTORY(A10,$G$1,$H$1,0,0,1)/STOCKHISTORY(A10,$G$1,$G$1,0,0,1))</f>
        <v/>
      </c>
    </row>
    <row r="11">
      <c r="A11" t="inlineStr">
        <is>
          <t>NDAQ</t>
        </is>
      </c>
      <c r="B11" t="n">
        <v>0.04</v>
      </c>
      <c r="C11">
        <f>INDEX(TRANSPOSE(STOCKHISTORY(A11,$G$1,$H$1,0,0,1)/STOCKHISTORY(A11,$G$1,$G$1,0,0,1)),1,COLUMNS(TRANSPOSE(STOCKHISTORY(A11,$G$1,$H$1,0,0,1)/STOCKHISTORY(A11,$G$1,$G$1,0,0,1))))</f>
        <v/>
      </c>
      <c r="D11">
        <f>TRANSPOSE(STOCKHISTORY(A11,$G$1,$H$1,0,0,1)/STOCKHISTORY(A11,$G$1,$G$1,0,0,1))</f>
        <v/>
      </c>
    </row>
    <row r="12">
      <c r="A12" t="inlineStr">
        <is>
          <t>AMAT</t>
        </is>
      </c>
      <c r="B12" t="n">
        <v>0.04</v>
      </c>
      <c r="C12">
        <f>INDEX(TRANSPOSE(STOCKHISTORY(A12,$G$1,$H$1,0,0,1)/STOCKHISTORY(A12,$G$1,$G$1,0,0,1)),1,COLUMNS(TRANSPOSE(STOCKHISTORY(A12,$G$1,$H$1,0,0,1)/STOCKHISTORY(A12,$G$1,$G$1,0,0,1))))</f>
        <v/>
      </c>
      <c r="D12">
        <f>TRANSPOSE(STOCKHISTORY(A12,$G$1,$H$1,0,0,1)/STOCKHISTORY(A12,$G$1,$G$1,0,0,1))</f>
        <v/>
      </c>
    </row>
    <row r="13">
      <c r="A13" t="inlineStr">
        <is>
          <t>SHOP</t>
        </is>
      </c>
      <c r="B13" t="n">
        <v>0.04</v>
      </c>
      <c r="C13">
        <f>INDEX(TRANSPOSE(STOCKHISTORY(A13,$G$1,$H$1,0,0,1)/STOCKHISTORY(A13,$G$1,$G$1,0,0,1)),1,COLUMNS(TRANSPOSE(STOCKHISTORY(A13,$G$1,$H$1,0,0,1)/STOCKHISTORY(A13,$G$1,$G$1,0,0,1))))</f>
        <v/>
      </c>
      <c r="D13">
        <f>TRANSPOSE(STOCKHISTORY(A13,$G$1,$H$1,0,0,1)/STOCKHISTORY(A13,$G$1,$G$1,0,0,1))</f>
        <v/>
      </c>
    </row>
    <row r="14">
      <c r="A14" t="inlineStr">
        <is>
          <t>AMGN</t>
        </is>
      </c>
      <c r="B14" t="n">
        <v>0.03</v>
      </c>
      <c r="C14">
        <f>INDEX(TRANSPOSE(STOCKHISTORY(A14,$G$1,$H$1,0,0,1)/STOCKHISTORY(A14,$G$1,$G$1,0,0,1)),1,COLUMNS(TRANSPOSE(STOCKHISTORY(A14,$G$1,$H$1,0,0,1)/STOCKHISTORY(A14,$G$1,$G$1,0,0,1))))</f>
        <v/>
      </c>
      <c r="D14">
        <f>TRANSPOSE(STOCKHISTORY(A14,$G$1,$H$1,0,0,1)/STOCKHISTORY(A14,$G$1,$G$1,0,0,1))</f>
        <v/>
      </c>
    </row>
    <row r="15">
      <c r="A15" t="inlineStr">
        <is>
          <t>PFE</t>
        </is>
      </c>
      <c r="B15" t="n">
        <v>0.03</v>
      </c>
      <c r="C15">
        <f>INDEX(TRANSPOSE(STOCKHISTORY(A15,$G$1,$H$1,0,0,1)/STOCKHISTORY(A15,$G$1,$G$1,0,0,1)),1,COLUMNS(TRANSPOSE(STOCKHISTORY(A15,$G$1,$H$1,0,0,1)/STOCKHISTORY(A15,$G$1,$G$1,0,0,1))))</f>
        <v/>
      </c>
      <c r="D15">
        <f>TRANSPOSE(STOCKHISTORY(A15,$G$1,$H$1,0,0,1)/STOCKHISTORY(A15,$G$1,$G$1,0,0,1))</f>
        <v/>
      </c>
    </row>
    <row r="16">
      <c r="A16" t="inlineStr">
        <is>
          <t>ZTS</t>
        </is>
      </c>
      <c r="B16" t="n">
        <v>0.03</v>
      </c>
      <c r="C16">
        <f>INDEX(TRANSPOSE(STOCKHISTORY(A16,$G$1,$H$1,0,0,1)/STOCKHISTORY(A16,$G$1,$G$1,0,0,1)),1,COLUMNS(TRANSPOSE(STOCKHISTORY(A16,$G$1,$H$1,0,0,1)/STOCKHISTORY(A16,$G$1,$G$1,0,0,1))))</f>
        <v/>
      </c>
      <c r="D16">
        <f>TRANSPOSE(STOCKHISTORY(A16,$G$1,$H$1,0,0,1)/STOCKHISTORY(A16,$G$1,$G$1,0,0,1))</f>
        <v/>
      </c>
    </row>
    <row r="17">
      <c r="A17" t="inlineStr">
        <is>
          <t>REGN</t>
        </is>
      </c>
      <c r="B17" t="n">
        <v>0.03</v>
      </c>
      <c r="C17">
        <f>INDEX(TRANSPOSE(STOCKHISTORY(A17,$G$1,$H$1,0,0,1)/STOCKHISTORY(A17,$G$1,$G$1,0,0,1)),1,COLUMNS(TRANSPOSE(STOCKHISTORY(A17,$G$1,$H$1,0,0,1)/STOCKHISTORY(A17,$G$1,$G$1,0,0,1))))</f>
        <v/>
      </c>
      <c r="D17">
        <f>TRANSPOSE(STOCKHISTORY(A17,$G$1,$H$1,0,0,1)/STOCKHISTORY(A17,$G$1,$G$1,0,0,1))</f>
        <v/>
      </c>
    </row>
    <row r="18">
      <c r="A18" t="inlineStr">
        <is>
          <t>BK</t>
        </is>
      </c>
      <c r="B18" t="n">
        <v>0.02</v>
      </c>
      <c r="C18">
        <f>INDEX(TRANSPOSE(STOCKHISTORY(A18,$G$1,$H$1,0,0,1)/STOCKHISTORY(A18,$G$1,$G$1,0,0,1)),1,COLUMNS(TRANSPOSE(STOCKHISTORY(A18,$G$1,$H$1,0,0,1)/STOCKHISTORY(A18,$G$1,$G$1,0,0,1))))</f>
        <v/>
      </c>
      <c r="D18">
        <f>TRANSPOSE(STOCKHISTORY(A18,$G$1,$H$1,0,0,1)/STOCKHISTORY(A18,$G$1,$G$1,0,0,1))</f>
        <v/>
      </c>
    </row>
    <row r="19">
      <c r="A19" t="inlineStr">
        <is>
          <t>ISRG</t>
        </is>
      </c>
      <c r="B19" t="n">
        <v>0.02</v>
      </c>
      <c r="C19">
        <f>INDEX(TRANSPOSE(STOCKHISTORY(A19,$G$1,$H$1,0,0,1)/STOCKHISTORY(A19,$G$1,$G$1,0,0,1)),1,COLUMNS(TRANSPOSE(STOCKHISTORY(A19,$G$1,$H$1,0,0,1)/STOCKHISTORY(A19,$G$1,$G$1,0,0,1))))</f>
        <v/>
      </c>
      <c r="D19">
        <f>TRANSPOSE(STOCKHISTORY(A19,$G$1,$H$1,0,0,1)/STOCKHISTORY(A19,$G$1,$G$1,0,0,1))</f>
        <v/>
      </c>
    </row>
    <row r="20">
      <c r="A20" t="inlineStr">
        <is>
          <t>IDXX</t>
        </is>
      </c>
      <c r="B20" t="n">
        <v>0.02</v>
      </c>
      <c r="C20">
        <f>INDEX(TRANSPOSE(STOCKHISTORY(A20,$G$1,$H$1,0,0,1)/STOCKHISTORY(A20,$G$1,$G$1,0,0,1)),1,COLUMNS(TRANSPOSE(STOCKHISTORY(A20,$G$1,$H$1,0,0,1)/STOCKHISTORY(A20,$G$1,$G$1,0,0,1))))</f>
        <v/>
      </c>
      <c r="D20">
        <f>TRANSPOSE(STOCKHISTORY(A20,$G$1,$H$1,0,0,1)/STOCKHISTORY(A20,$G$1,$G$1,0,0,1))</f>
        <v/>
      </c>
    </row>
    <row r="21">
      <c r="A21" t="inlineStr">
        <is>
          <t>ICE</t>
        </is>
      </c>
      <c r="B21" t="n">
        <v>0.02</v>
      </c>
      <c r="C21">
        <f>INDEX(TRANSPOSE(STOCKHISTORY(A21,$G$1,$H$1,0,0,1)/STOCKHISTORY(A21,$G$1,$G$1,0,0,1)),1,COLUMNS(TRANSPOSE(STOCKHISTORY(A21,$G$1,$H$1,0,0,1)/STOCKHISTORY(A21,$G$1,$G$1,0,0,1))))</f>
        <v/>
      </c>
      <c r="D21">
        <f>TRANSPOSE(STOCKHISTORY(A21,$G$1,$H$1,0,0,1)/STOCKHISTORY(A21,$G$1,$G$1,0,0,1))</f>
        <v/>
      </c>
    </row>
    <row r="22">
      <c r="A22" t="inlineStr">
        <is>
          <t>Total Return</t>
        </is>
      </c>
      <c r="B22" t="inlineStr"/>
      <c r="C22">
        <f>SUMPRODUCT(B2:B21,C2:C21)/SUM(B2:B21)</f>
        <v/>
      </c>
      <c r="D22">
        <f>SUMPRODUCT($B$2:$B$21,D2:D21)/SUM($B$2:$B$21)</f>
        <v/>
      </c>
      <c r="E22">
        <f>SUMPRODUCT($B$2:$B$21,E2:E21)/SUM($B$2:$B$21)</f>
        <v/>
      </c>
      <c r="F22">
        <f>SUMPRODUCT($B$2:$B$21,F2:F21)/SUM($B$2:$B$21)</f>
        <v/>
      </c>
      <c r="G22">
        <f>SUMPRODUCT($B$2:$B$21,G2:G21)/SUM($B$2:$B$21)</f>
        <v/>
      </c>
      <c r="H22">
        <f>SUMPRODUCT($B$2:$B$21,H2:H21)/SUM($B$2:$B$21)</f>
        <v/>
      </c>
      <c r="I22">
        <f>SUMPRODUCT($B$2:$B$21,I2:I21)/SUM($B$2:$B$21)</f>
        <v/>
      </c>
      <c r="J22">
        <f>SUMPRODUCT($B$2:$B$21,J2:J21)/SUM($B$2:$B$21)</f>
        <v/>
      </c>
      <c r="K22">
        <f>SUMPRODUCT($B$2:$B$21,K2:K21)/SUM($B$2:$B$21)</f>
        <v/>
      </c>
      <c r="L22">
        <f>SUMPRODUCT($B$2:$B$21,L2:L21)/SUM($B$2:$B$21)</f>
        <v/>
      </c>
      <c r="M22">
        <f>SUMPRODUCT($B$2:$B$21,M2:M21)/SUM($B$2:$B$21)</f>
        <v/>
      </c>
      <c r="N22">
        <f>SUMPRODUCT($B$2:$B$21,N2:N21)/SUM($B$2:$B$21)</f>
        <v/>
      </c>
    </row>
    <row r="23">
      <c r="A23" t="inlineStr">
        <is>
          <t>SPY</t>
        </is>
      </c>
      <c r="B23" t="inlineStr"/>
      <c r="C23">
        <f>INDEX(TRANSPOSE(STOCKHISTORY(A23,$G$1,$H$1,0,0,1)/STOCKHISTORY(A23,$G$1,$G$1,0,0,1)),1,COLUMNS(TRANSPOSE(STOCKHISTORY(A23,$G$1,$H$1,0,0,1)/STOCKHISTORY(A23,$G$1,$G$1,0,0,1))))</f>
        <v/>
      </c>
      <c r="D23">
        <f>TRANSPOSE(STOCKHISTORY(A23,$G$1,$H$1,0,0,1)/STOCKHISTORY(A23,$G$1,$G$1,0,0,1))</f>
        <v/>
      </c>
    </row>
    <row r="24"/>
    <row r="25">
      <c r="A25" t="inlineStr">
        <is>
          <t>Excess Return</t>
        </is>
      </c>
      <c r="B25">
        <f>C22-C23</f>
        <v/>
      </c>
    </row>
    <row r="26">
      <c r="A26" t="inlineStr">
        <is>
          <t>Beta</t>
        </is>
      </c>
    </row>
    <row r="27">
      <c r="A27" t="inlineStr">
        <is>
          <t>Alpha</t>
        </is>
      </c>
      <c r="B27">
        <f>C22-C23*B26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  <c r="C1" t="inlineStr">
        <is>
          <t>Return</t>
        </is>
      </c>
      <c r="G1" s="1" t="n">
        <v>46007</v>
      </c>
      <c r="H1" s="1" t="n">
        <v>46027</v>
      </c>
    </row>
    <row r="2">
      <c r="A2" t="inlineStr">
        <is>
          <t>ADBE</t>
        </is>
      </c>
      <c r="B2" t="n">
        <v>0.1</v>
      </c>
      <c r="C2">
        <f>INDEX(TRANSPOSE(STOCKHISTORY(A2,$G$1,$H$1,0,0,1)/STOCKHISTORY(A2,$G$1,$G$1,0,0,1)),1,COLUMNS(TRANSPOSE(STOCKHISTORY(A2,$G$1,$H$1,0,0,1)/STOCKHISTORY(A2,$G$1,$G$1,0,0,1))))</f>
        <v/>
      </c>
      <c r="D2">
        <f>TRANSPOSE(STOCKHISTORY(A2,$G$1,$H$1,0,0,1)/STOCKHISTORY(A2,$G$1,$G$1,0,0,1))</f>
        <v/>
      </c>
    </row>
    <row r="3">
      <c r="A3" t="inlineStr">
        <is>
          <t>GOOGL</t>
        </is>
      </c>
      <c r="B3" t="n">
        <v>0.09</v>
      </c>
      <c r="C3">
        <f>INDEX(TRANSPOSE(STOCKHISTORY(A3,$G$1,$H$1,0,0,1)/STOCKHISTORY(A3,$G$1,$G$1,0,0,1)),1,COLUMNS(TRANSPOSE(STOCKHISTORY(A3,$G$1,$H$1,0,0,1)/STOCKHISTORY(A3,$G$1,$G$1,0,0,1))))</f>
        <v/>
      </c>
      <c r="D3">
        <f>TRANSPOSE(STOCKHISTORY(A3,$G$1,$H$1,0,0,1)/STOCKHISTORY(A3,$G$1,$G$1,0,0,1))</f>
        <v/>
      </c>
    </row>
    <row r="4">
      <c r="A4" t="inlineStr">
        <is>
          <t>MRK</t>
        </is>
      </c>
      <c r="B4" t="n">
        <v>0.08</v>
      </c>
      <c r="C4">
        <f>INDEX(TRANSPOSE(STOCKHISTORY(A4,$G$1,$H$1,0,0,1)/STOCKHISTORY(A4,$G$1,$G$1,0,0,1)),1,COLUMNS(TRANSPOSE(STOCKHISTORY(A4,$G$1,$H$1,0,0,1)/STOCKHISTORY(A4,$G$1,$G$1,0,0,1))))</f>
        <v/>
      </c>
      <c r="D4">
        <f>TRANSPOSE(STOCKHISTORY(A4,$G$1,$H$1,0,0,1)/STOCKHISTORY(A4,$G$1,$G$1,0,0,1))</f>
        <v/>
      </c>
    </row>
    <row r="5">
      <c r="A5" t="inlineStr">
        <is>
          <t>V</t>
        </is>
      </c>
      <c r="B5" t="n">
        <v>0.08</v>
      </c>
      <c r="C5">
        <f>INDEX(TRANSPOSE(STOCKHISTORY(A5,$G$1,$H$1,0,0,1)/STOCKHISTORY(A5,$G$1,$G$1,0,0,1)),1,COLUMNS(TRANSPOSE(STOCKHISTORY(A5,$G$1,$H$1,0,0,1)/STOCKHISTORY(A5,$G$1,$G$1,0,0,1))))</f>
        <v/>
      </c>
      <c r="D5">
        <f>TRANSPOSE(STOCKHISTORY(A5,$G$1,$H$1,0,0,1)/STOCKHISTORY(A5,$G$1,$G$1,0,0,1))</f>
        <v/>
      </c>
    </row>
    <row r="6">
      <c r="A6" t="inlineStr">
        <is>
          <t>BKNG</t>
        </is>
      </c>
      <c r="B6" t="n">
        <v>0.07000000000000001</v>
      </c>
      <c r="C6">
        <f>INDEX(TRANSPOSE(STOCKHISTORY(A6,$G$1,$H$1,0,0,1)/STOCKHISTORY(A6,$G$1,$G$1,0,0,1)),1,COLUMNS(TRANSPOSE(STOCKHISTORY(A6,$G$1,$H$1,0,0,1)/STOCKHISTORY(A6,$G$1,$G$1,0,0,1))))</f>
        <v/>
      </c>
      <c r="D6">
        <f>TRANSPOSE(STOCKHISTORY(A6,$G$1,$H$1,0,0,1)/STOCKHISTORY(A6,$G$1,$G$1,0,0,1))</f>
        <v/>
      </c>
    </row>
    <row r="7">
      <c r="A7" t="inlineStr">
        <is>
          <t>NDAQ</t>
        </is>
      </c>
      <c r="B7" t="n">
        <v>0.07000000000000001</v>
      </c>
      <c r="C7">
        <f>INDEX(TRANSPOSE(STOCKHISTORY(A7,$G$1,$H$1,0,0,1)/STOCKHISTORY(A7,$G$1,$G$1,0,0,1)),1,COLUMNS(TRANSPOSE(STOCKHISTORY(A7,$G$1,$H$1,0,0,1)/STOCKHISTORY(A7,$G$1,$G$1,0,0,1))))</f>
        <v/>
      </c>
      <c r="D7">
        <f>TRANSPOSE(STOCKHISTORY(A7,$G$1,$H$1,0,0,1)/STOCKHISTORY(A7,$G$1,$G$1,0,0,1))</f>
        <v/>
      </c>
    </row>
    <row r="8">
      <c r="A8" t="inlineStr">
        <is>
          <t>MA</t>
        </is>
      </c>
      <c r="B8" t="n">
        <v>0.06</v>
      </c>
      <c r="C8">
        <f>INDEX(TRANSPOSE(STOCKHISTORY(A8,$G$1,$H$1,0,0,1)/STOCKHISTORY(A8,$G$1,$G$1,0,0,1)),1,COLUMNS(TRANSPOSE(STOCKHISTORY(A8,$G$1,$H$1,0,0,1)/STOCKHISTORY(A8,$G$1,$G$1,0,0,1))))</f>
        <v/>
      </c>
      <c r="D8">
        <f>TRANSPOSE(STOCKHISTORY(A8,$G$1,$H$1,0,0,1)/STOCKHISTORY(A8,$G$1,$G$1,0,0,1))</f>
        <v/>
      </c>
    </row>
    <row r="9">
      <c r="A9" t="inlineStr">
        <is>
          <t>AMGN</t>
        </is>
      </c>
      <c r="B9" t="n">
        <v>0.06</v>
      </c>
      <c r="C9">
        <f>INDEX(TRANSPOSE(STOCKHISTORY(A9,$G$1,$H$1,0,0,1)/STOCKHISTORY(A9,$G$1,$G$1,0,0,1)),1,COLUMNS(TRANSPOSE(STOCKHISTORY(A9,$G$1,$H$1,0,0,1)/STOCKHISTORY(A9,$G$1,$G$1,0,0,1))))</f>
        <v/>
      </c>
      <c r="D9">
        <f>TRANSPOSE(STOCKHISTORY(A9,$G$1,$H$1,0,0,1)/STOCKHISTORY(A9,$G$1,$G$1,0,0,1))</f>
        <v/>
      </c>
    </row>
    <row r="10">
      <c r="A10" t="inlineStr">
        <is>
          <t>JPM</t>
        </is>
      </c>
      <c r="B10" t="n">
        <v>0.05</v>
      </c>
      <c r="C10">
        <f>INDEX(TRANSPOSE(STOCKHISTORY(A10,$G$1,$H$1,0,0,1)/STOCKHISTORY(A10,$G$1,$G$1,0,0,1)),1,COLUMNS(TRANSPOSE(STOCKHISTORY(A10,$G$1,$H$1,0,0,1)/STOCKHISTORY(A10,$G$1,$G$1,0,0,1))))</f>
        <v/>
      </c>
      <c r="D10">
        <f>TRANSPOSE(STOCKHISTORY(A10,$G$1,$H$1,0,0,1)/STOCKHISTORY(A10,$G$1,$G$1,0,0,1))</f>
        <v/>
      </c>
    </row>
    <row r="11">
      <c r="A11" t="inlineStr">
        <is>
          <t>PFE</t>
        </is>
      </c>
      <c r="B11" t="n">
        <v>0.05</v>
      </c>
      <c r="C11">
        <f>INDEX(TRANSPOSE(STOCKHISTORY(A11,$G$1,$H$1,0,0,1)/STOCKHISTORY(A11,$G$1,$G$1,0,0,1)),1,COLUMNS(TRANSPOSE(STOCKHISTORY(A11,$G$1,$H$1,0,0,1)/STOCKHISTORY(A11,$G$1,$G$1,0,0,1))))</f>
        <v/>
      </c>
      <c r="D11">
        <f>TRANSPOSE(STOCKHISTORY(A11,$G$1,$H$1,0,0,1)/STOCKHISTORY(A11,$G$1,$G$1,0,0,1))</f>
        <v/>
      </c>
    </row>
    <row r="12">
      <c r="A12" t="inlineStr">
        <is>
          <t>NFLX</t>
        </is>
      </c>
      <c r="B12" t="n">
        <v>0.05</v>
      </c>
      <c r="C12">
        <f>INDEX(TRANSPOSE(STOCKHISTORY(A12,$G$1,$H$1,0,0,1)/STOCKHISTORY(A12,$G$1,$G$1,0,0,1)),1,COLUMNS(TRANSPOSE(STOCKHISTORY(A12,$G$1,$H$1,0,0,1)/STOCKHISTORY(A12,$G$1,$G$1,0,0,1))))</f>
        <v/>
      </c>
      <c r="D12">
        <f>TRANSPOSE(STOCKHISTORY(A12,$G$1,$H$1,0,0,1)/STOCKHISTORY(A12,$G$1,$G$1,0,0,1))</f>
        <v/>
      </c>
    </row>
    <row r="13">
      <c r="A13" t="inlineStr">
        <is>
          <t>CSCO</t>
        </is>
      </c>
      <c r="B13" t="n">
        <v>0.04</v>
      </c>
      <c r="C13">
        <f>INDEX(TRANSPOSE(STOCKHISTORY(A13,$G$1,$H$1,0,0,1)/STOCKHISTORY(A13,$G$1,$G$1,0,0,1)),1,COLUMNS(TRANSPOSE(STOCKHISTORY(A13,$G$1,$H$1,0,0,1)/STOCKHISTORY(A13,$G$1,$G$1,0,0,1))))</f>
        <v/>
      </c>
      <c r="D13">
        <f>TRANSPOSE(STOCKHISTORY(A13,$G$1,$H$1,0,0,1)/STOCKHISTORY(A13,$G$1,$G$1,0,0,1))</f>
        <v/>
      </c>
    </row>
    <row r="14">
      <c r="A14" t="inlineStr">
        <is>
          <t>ISRG</t>
        </is>
      </c>
      <c r="B14" t="n">
        <v>0.04</v>
      </c>
      <c r="C14">
        <f>INDEX(TRANSPOSE(STOCKHISTORY(A14,$G$1,$H$1,0,0,1)/STOCKHISTORY(A14,$G$1,$G$1,0,0,1)),1,COLUMNS(TRANSPOSE(STOCKHISTORY(A14,$G$1,$H$1,0,0,1)/STOCKHISTORY(A14,$G$1,$G$1,0,0,1))))</f>
        <v/>
      </c>
      <c r="D14">
        <f>TRANSPOSE(STOCKHISTORY(A14,$G$1,$H$1,0,0,1)/STOCKHISTORY(A14,$G$1,$G$1,0,0,1))</f>
        <v/>
      </c>
    </row>
    <row r="15">
      <c r="A15" t="inlineStr">
        <is>
          <t>TROW</t>
        </is>
      </c>
      <c r="B15" t="n">
        <v>0.03</v>
      </c>
      <c r="C15">
        <f>INDEX(TRANSPOSE(STOCKHISTORY(A15,$G$1,$H$1,0,0,1)/STOCKHISTORY(A15,$G$1,$G$1,0,0,1)),1,COLUMNS(TRANSPOSE(STOCKHISTORY(A15,$G$1,$H$1,0,0,1)/STOCKHISTORY(A15,$G$1,$G$1,0,0,1))))</f>
        <v/>
      </c>
      <c r="D15">
        <f>TRANSPOSE(STOCKHISTORY(A15,$G$1,$H$1,0,0,1)/STOCKHISTORY(A15,$G$1,$G$1,0,0,1))</f>
        <v/>
      </c>
    </row>
    <row r="16">
      <c r="A16" t="inlineStr">
        <is>
          <t>UNH</t>
        </is>
      </c>
      <c r="B16" t="n">
        <v>0.03</v>
      </c>
      <c r="C16">
        <f>INDEX(TRANSPOSE(STOCKHISTORY(A16,$G$1,$H$1,0,0,1)/STOCKHISTORY(A16,$G$1,$G$1,0,0,1)),1,COLUMNS(TRANSPOSE(STOCKHISTORY(A16,$G$1,$H$1,0,0,1)/STOCKHISTORY(A16,$G$1,$G$1,0,0,1))))</f>
        <v/>
      </c>
      <c r="D16">
        <f>TRANSPOSE(STOCKHISTORY(A16,$G$1,$H$1,0,0,1)/STOCKHISTORY(A16,$G$1,$G$1,0,0,1))</f>
        <v/>
      </c>
    </row>
    <row r="17">
      <c r="A17" t="inlineStr">
        <is>
          <t>BMY</t>
        </is>
      </c>
      <c r="B17" t="n">
        <v>0.02</v>
      </c>
      <c r="C17">
        <f>INDEX(TRANSPOSE(STOCKHISTORY(A17,$G$1,$H$1,0,0,1)/STOCKHISTORY(A17,$G$1,$G$1,0,0,1)),1,COLUMNS(TRANSPOSE(STOCKHISTORY(A17,$G$1,$H$1,0,0,1)/STOCKHISTORY(A17,$G$1,$G$1,0,0,1))))</f>
        <v/>
      </c>
      <c r="D17">
        <f>TRANSPOSE(STOCKHISTORY(A17,$G$1,$H$1,0,0,1)/STOCKHISTORY(A17,$G$1,$G$1,0,0,1))</f>
        <v/>
      </c>
    </row>
    <row r="18">
      <c r="A18" t="inlineStr">
        <is>
          <t>GILD</t>
        </is>
      </c>
      <c r="B18" t="n">
        <v>0.02</v>
      </c>
      <c r="C18">
        <f>INDEX(TRANSPOSE(STOCKHISTORY(A18,$G$1,$H$1,0,0,1)/STOCKHISTORY(A18,$G$1,$G$1,0,0,1)),1,COLUMNS(TRANSPOSE(STOCKHISTORY(A18,$G$1,$H$1,0,0,1)/STOCKHISTORY(A18,$G$1,$G$1,0,0,1))))</f>
        <v/>
      </c>
      <c r="D18">
        <f>TRANSPOSE(STOCKHISTORY(A18,$G$1,$H$1,0,0,1)/STOCKHISTORY(A18,$G$1,$G$1,0,0,1))</f>
        <v/>
      </c>
    </row>
    <row r="19">
      <c r="A19" t="inlineStr">
        <is>
          <t>NTRS</t>
        </is>
      </c>
      <c r="B19" t="n">
        <v>0.02</v>
      </c>
      <c r="C19">
        <f>INDEX(TRANSPOSE(STOCKHISTORY(A19,$G$1,$H$1,0,0,1)/STOCKHISTORY(A19,$G$1,$G$1,0,0,1)),1,COLUMNS(TRANSPOSE(STOCKHISTORY(A19,$G$1,$H$1,0,0,1)/STOCKHISTORY(A19,$G$1,$G$1,0,0,1))))</f>
        <v/>
      </c>
      <c r="D19">
        <f>TRANSPOSE(STOCKHISTORY(A19,$G$1,$H$1,0,0,1)/STOCKHISTORY(A19,$G$1,$G$1,0,0,1))</f>
        <v/>
      </c>
    </row>
    <row r="20">
      <c r="A20" t="inlineStr">
        <is>
          <t>PEP</t>
        </is>
      </c>
      <c r="B20" t="n">
        <v>0.02</v>
      </c>
      <c r="C20">
        <f>INDEX(TRANSPOSE(STOCKHISTORY(A20,$G$1,$H$1,0,0,1)/STOCKHISTORY(A20,$G$1,$G$1,0,0,1)),1,COLUMNS(TRANSPOSE(STOCKHISTORY(A20,$G$1,$H$1,0,0,1)/STOCKHISTORY(A20,$G$1,$G$1,0,0,1))))</f>
        <v/>
      </c>
      <c r="D20">
        <f>TRANSPOSE(STOCKHISTORY(A20,$G$1,$H$1,0,0,1)/STOCKHISTORY(A20,$G$1,$G$1,0,0,1))</f>
        <v/>
      </c>
    </row>
    <row r="21">
      <c r="A21" t="inlineStr">
        <is>
          <t>VZ</t>
        </is>
      </c>
      <c r="B21" t="n">
        <v>0.02</v>
      </c>
      <c r="C21">
        <f>INDEX(TRANSPOSE(STOCKHISTORY(A21,$G$1,$H$1,0,0,1)/STOCKHISTORY(A21,$G$1,$G$1,0,0,1)),1,COLUMNS(TRANSPOSE(STOCKHISTORY(A21,$G$1,$H$1,0,0,1)/STOCKHISTORY(A21,$G$1,$G$1,0,0,1))))</f>
        <v/>
      </c>
      <c r="D21">
        <f>TRANSPOSE(STOCKHISTORY(A21,$G$1,$H$1,0,0,1)/STOCKHISTORY(A21,$G$1,$G$1,0,0,1))</f>
        <v/>
      </c>
    </row>
    <row r="22">
      <c r="A22" t="inlineStr">
        <is>
          <t>Total Return</t>
        </is>
      </c>
      <c r="B22" t="inlineStr"/>
      <c r="C22">
        <f>SUMPRODUCT(B2:B21,C2:C21)/SUM(B2:B21)</f>
        <v/>
      </c>
      <c r="D22">
        <f>SUMPRODUCT($B$2:$B$21,D2:D21)/SUM($B$2:$B$21)</f>
        <v/>
      </c>
      <c r="E22">
        <f>SUMPRODUCT($B$2:$B$21,E2:E21)/SUM($B$2:$B$21)</f>
        <v/>
      </c>
      <c r="F22">
        <f>SUMPRODUCT($B$2:$B$21,F2:F21)/SUM($B$2:$B$21)</f>
        <v/>
      </c>
      <c r="G22">
        <f>SUMPRODUCT($B$2:$B$21,G2:G21)/SUM($B$2:$B$21)</f>
        <v/>
      </c>
      <c r="H22">
        <f>SUMPRODUCT($B$2:$B$21,H2:H21)/SUM($B$2:$B$21)</f>
        <v/>
      </c>
      <c r="I22">
        <f>SUMPRODUCT($B$2:$B$21,I2:I21)/SUM($B$2:$B$21)</f>
        <v/>
      </c>
      <c r="J22">
        <f>SUMPRODUCT($B$2:$B$21,J2:J21)/SUM($B$2:$B$21)</f>
        <v/>
      </c>
      <c r="K22">
        <f>SUMPRODUCT($B$2:$B$21,K2:K21)/SUM($B$2:$B$21)</f>
        <v/>
      </c>
      <c r="L22">
        <f>SUMPRODUCT($B$2:$B$21,L2:L21)/SUM($B$2:$B$21)</f>
        <v/>
      </c>
      <c r="M22">
        <f>SUMPRODUCT($B$2:$B$21,M2:M21)/SUM($B$2:$B$21)</f>
        <v/>
      </c>
      <c r="N22">
        <f>SUMPRODUCT($B$2:$B$21,N2:N21)/SUM($B$2:$B$21)</f>
        <v/>
      </c>
    </row>
    <row r="23">
      <c r="A23" t="inlineStr">
        <is>
          <t>SPY</t>
        </is>
      </c>
      <c r="B23" t="inlineStr"/>
      <c r="C23">
        <f>INDEX(TRANSPOSE(STOCKHISTORY(A23,$G$1,$H$1,0,0,1)/STOCKHISTORY(A23,$G$1,$G$1,0,0,1)),1,COLUMNS(TRANSPOSE(STOCKHISTORY(A23,$G$1,$H$1,0,0,1)/STOCKHISTORY(A23,$G$1,$G$1,0,0,1))))</f>
        <v/>
      </c>
      <c r="D23">
        <f>TRANSPOSE(STOCKHISTORY(A23,$G$1,$H$1,0,0,1)/STOCKHISTORY(A23,$G$1,$G$1,0,0,1))</f>
        <v/>
      </c>
    </row>
    <row r="24"/>
    <row r="25">
      <c r="A25" t="inlineStr">
        <is>
          <t>Excess Return</t>
        </is>
      </c>
      <c r="B25">
        <f>C22-C23</f>
        <v/>
      </c>
    </row>
    <row r="26">
      <c r="A26" t="inlineStr">
        <is>
          <t>Beta</t>
        </is>
      </c>
    </row>
    <row r="27">
      <c r="A27" t="inlineStr">
        <is>
          <t>Alpha</t>
        </is>
      </c>
      <c r="B27">
        <f>C22-C23*B26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  <c r="C1" t="inlineStr">
        <is>
          <t>Return</t>
        </is>
      </c>
      <c r="G1" s="1" t="n">
        <v>46027</v>
      </c>
      <c r="H1" s="1" t="n">
        <v>46038</v>
      </c>
    </row>
    <row r="2">
      <c r="A2" t="inlineStr">
        <is>
          <t>NEM</t>
        </is>
      </c>
      <c r="B2" t="n">
        <v>0.1</v>
      </c>
      <c r="C2">
        <f>INDEX(TRANSPOSE(STOCKHISTORY(A2,$G$1,$H$1,0,0,1)/STOCKHISTORY(A2,$G$1,$G$1,0,0,1)),1,COLUMNS(TRANSPOSE(STOCKHISTORY(A2,$G$1,$H$1,0,0,1)/STOCKHISTORY(A2,$G$1,$G$1,0,0,1))))</f>
        <v/>
      </c>
      <c r="D2">
        <f>TRANSPOSE(STOCKHISTORY(A2,$G$1,$H$1,0,0,1)/STOCKHISTORY(A2,$G$1,$G$1,0,0,1))</f>
        <v/>
      </c>
    </row>
    <row r="3">
      <c r="A3" t="inlineStr">
        <is>
          <t>MRK</t>
        </is>
      </c>
      <c r="B3" t="n">
        <v>0.09</v>
      </c>
      <c r="C3">
        <f>INDEX(TRANSPOSE(STOCKHISTORY(A3,$G$1,$H$1,0,0,1)/STOCKHISTORY(A3,$G$1,$G$1,0,0,1)),1,COLUMNS(TRANSPOSE(STOCKHISTORY(A3,$G$1,$H$1,0,0,1)/STOCKHISTORY(A3,$G$1,$G$1,0,0,1))))</f>
        <v/>
      </c>
      <c r="D3">
        <f>TRANSPOSE(STOCKHISTORY(A3,$G$1,$H$1,0,0,1)/STOCKHISTORY(A3,$G$1,$G$1,0,0,1))</f>
        <v/>
      </c>
    </row>
    <row r="4">
      <c r="A4" t="inlineStr">
        <is>
          <t>GOOGL</t>
        </is>
      </c>
      <c r="B4" t="n">
        <v>0.08</v>
      </c>
      <c r="C4">
        <f>INDEX(TRANSPOSE(STOCKHISTORY(A4,$G$1,$H$1,0,0,1)/STOCKHISTORY(A4,$G$1,$G$1,0,0,1)),1,COLUMNS(TRANSPOSE(STOCKHISTORY(A4,$G$1,$H$1,0,0,1)/STOCKHISTORY(A4,$G$1,$G$1,0,0,1))))</f>
        <v/>
      </c>
      <c r="D4">
        <f>TRANSPOSE(STOCKHISTORY(A4,$G$1,$H$1,0,0,1)/STOCKHISTORY(A4,$G$1,$G$1,0,0,1))</f>
        <v/>
      </c>
    </row>
    <row r="5">
      <c r="A5" t="inlineStr">
        <is>
          <t>BKNG</t>
        </is>
      </c>
      <c r="B5" t="n">
        <v>0.07000000000000001</v>
      </c>
      <c r="C5">
        <f>INDEX(TRANSPOSE(STOCKHISTORY(A5,$G$1,$H$1,0,0,1)/STOCKHISTORY(A5,$G$1,$G$1,0,0,1)),1,COLUMNS(TRANSPOSE(STOCKHISTORY(A5,$G$1,$H$1,0,0,1)/STOCKHISTORY(A5,$G$1,$G$1,0,0,1))))</f>
        <v/>
      </c>
      <c r="D5">
        <f>TRANSPOSE(STOCKHISTORY(A5,$G$1,$H$1,0,0,1)/STOCKHISTORY(A5,$G$1,$G$1,0,0,1))</f>
        <v/>
      </c>
    </row>
    <row r="6">
      <c r="A6" t="inlineStr">
        <is>
          <t>V</t>
        </is>
      </c>
      <c r="B6" t="n">
        <v>0.07000000000000001</v>
      </c>
      <c r="C6">
        <f>INDEX(TRANSPOSE(STOCKHISTORY(A6,$G$1,$H$1,0,0,1)/STOCKHISTORY(A6,$G$1,$G$1,0,0,1)),1,COLUMNS(TRANSPOSE(STOCKHISTORY(A6,$G$1,$H$1,0,0,1)/STOCKHISTORY(A6,$G$1,$G$1,0,0,1))))</f>
        <v/>
      </c>
      <c r="D6">
        <f>TRANSPOSE(STOCKHISTORY(A6,$G$1,$H$1,0,0,1)/STOCKHISTORY(A6,$G$1,$G$1,0,0,1))</f>
        <v/>
      </c>
    </row>
    <row r="7">
      <c r="A7" t="inlineStr">
        <is>
          <t>MA</t>
        </is>
      </c>
      <c r="B7" t="n">
        <v>0.06</v>
      </c>
      <c r="C7">
        <f>INDEX(TRANSPOSE(STOCKHISTORY(A7,$G$1,$H$1,0,0,1)/STOCKHISTORY(A7,$G$1,$G$1,0,0,1)),1,COLUMNS(TRANSPOSE(STOCKHISTORY(A7,$G$1,$H$1,0,0,1)/STOCKHISTORY(A7,$G$1,$G$1,0,0,1))))</f>
        <v/>
      </c>
      <c r="D7">
        <f>TRANSPOSE(STOCKHISTORY(A7,$G$1,$H$1,0,0,1)/STOCKHISTORY(A7,$G$1,$G$1,0,0,1))</f>
        <v/>
      </c>
    </row>
    <row r="8">
      <c r="A8" t="inlineStr">
        <is>
          <t>PFE</t>
        </is>
      </c>
      <c r="B8" t="n">
        <v>0.06</v>
      </c>
      <c r="C8">
        <f>INDEX(TRANSPOSE(STOCKHISTORY(A8,$G$1,$H$1,0,0,1)/STOCKHISTORY(A8,$G$1,$G$1,0,0,1)),1,COLUMNS(TRANSPOSE(STOCKHISTORY(A8,$G$1,$H$1,0,0,1)/STOCKHISTORY(A8,$G$1,$G$1,0,0,1))))</f>
        <v/>
      </c>
      <c r="D8">
        <f>TRANSPOSE(STOCKHISTORY(A8,$G$1,$H$1,0,0,1)/STOCKHISTORY(A8,$G$1,$G$1,0,0,1))</f>
        <v/>
      </c>
    </row>
    <row r="9">
      <c r="A9" t="inlineStr">
        <is>
          <t>QCOM</t>
        </is>
      </c>
      <c r="B9" t="n">
        <v>0.06</v>
      </c>
      <c r="C9">
        <f>INDEX(TRANSPOSE(STOCKHISTORY(A9,$G$1,$H$1,0,0,1)/STOCKHISTORY(A9,$G$1,$G$1,0,0,1)),1,COLUMNS(TRANSPOSE(STOCKHISTORY(A9,$G$1,$H$1,0,0,1)/STOCKHISTORY(A9,$G$1,$G$1,0,0,1))))</f>
        <v/>
      </c>
      <c r="D9">
        <f>TRANSPOSE(STOCKHISTORY(A9,$G$1,$H$1,0,0,1)/STOCKHISTORY(A9,$G$1,$G$1,0,0,1))</f>
        <v/>
      </c>
    </row>
    <row r="10">
      <c r="A10" t="inlineStr">
        <is>
          <t>LRCX</t>
        </is>
      </c>
      <c r="B10" t="n">
        <v>0.06</v>
      </c>
      <c r="C10">
        <f>INDEX(TRANSPOSE(STOCKHISTORY(A10,$G$1,$H$1,0,0,1)/STOCKHISTORY(A10,$G$1,$G$1,0,0,1)),1,COLUMNS(TRANSPOSE(STOCKHISTORY(A10,$G$1,$H$1,0,0,1)/STOCKHISTORY(A10,$G$1,$G$1,0,0,1))))</f>
        <v/>
      </c>
      <c r="D10">
        <f>TRANSPOSE(STOCKHISTORY(A10,$G$1,$H$1,0,0,1)/STOCKHISTORY(A10,$G$1,$G$1,0,0,1))</f>
        <v/>
      </c>
    </row>
    <row r="11">
      <c r="A11" t="inlineStr">
        <is>
          <t>JPM</t>
        </is>
      </c>
      <c r="B11" t="n">
        <v>0.05</v>
      </c>
      <c r="C11">
        <f>INDEX(TRANSPOSE(STOCKHISTORY(A11,$G$1,$H$1,0,0,1)/STOCKHISTORY(A11,$G$1,$G$1,0,0,1)),1,COLUMNS(TRANSPOSE(STOCKHISTORY(A11,$G$1,$H$1,0,0,1)/STOCKHISTORY(A11,$G$1,$G$1,0,0,1))))</f>
        <v/>
      </c>
      <c r="D11">
        <f>TRANSPOSE(STOCKHISTORY(A11,$G$1,$H$1,0,0,1)/STOCKHISTORY(A11,$G$1,$G$1,0,0,1))</f>
        <v/>
      </c>
    </row>
    <row r="12">
      <c r="A12" t="inlineStr">
        <is>
          <t>AAPL</t>
        </is>
      </c>
      <c r="B12" t="n">
        <v>0.04</v>
      </c>
      <c r="C12">
        <f>INDEX(TRANSPOSE(STOCKHISTORY(A12,$G$1,$H$1,0,0,1)/STOCKHISTORY(A12,$G$1,$G$1,0,0,1)),1,COLUMNS(TRANSPOSE(STOCKHISTORY(A12,$G$1,$H$1,0,0,1)/STOCKHISTORY(A12,$G$1,$G$1,0,0,1))))</f>
        <v/>
      </c>
      <c r="D12">
        <f>TRANSPOSE(STOCKHISTORY(A12,$G$1,$H$1,0,0,1)/STOCKHISTORY(A12,$G$1,$G$1,0,0,1))</f>
        <v/>
      </c>
    </row>
    <row r="13">
      <c r="A13" t="inlineStr">
        <is>
          <t>REGN</t>
        </is>
      </c>
      <c r="B13" t="n">
        <v>0.04</v>
      </c>
      <c r="C13">
        <f>INDEX(TRANSPOSE(STOCKHISTORY(A13,$G$1,$H$1,0,0,1)/STOCKHISTORY(A13,$G$1,$G$1,0,0,1)),1,COLUMNS(TRANSPOSE(STOCKHISTORY(A13,$G$1,$H$1,0,0,1)/STOCKHISTORY(A13,$G$1,$G$1,0,0,1))))</f>
        <v/>
      </c>
      <c r="D13">
        <f>TRANSPOSE(STOCKHISTORY(A13,$G$1,$H$1,0,0,1)/STOCKHISTORY(A13,$G$1,$G$1,0,0,1))</f>
        <v/>
      </c>
    </row>
    <row r="14">
      <c r="A14" t="inlineStr">
        <is>
          <t>AMGN</t>
        </is>
      </c>
      <c r="B14" t="n">
        <v>0.04</v>
      </c>
      <c r="C14">
        <f>INDEX(TRANSPOSE(STOCKHISTORY(A14,$G$1,$H$1,0,0,1)/STOCKHISTORY(A14,$G$1,$G$1,0,0,1)),1,COLUMNS(TRANSPOSE(STOCKHISTORY(A14,$G$1,$H$1,0,0,1)/STOCKHISTORY(A14,$G$1,$G$1,0,0,1))))</f>
        <v/>
      </c>
      <c r="D14">
        <f>TRANSPOSE(STOCKHISTORY(A14,$G$1,$H$1,0,0,1)/STOCKHISTORY(A14,$G$1,$G$1,0,0,1))</f>
        <v/>
      </c>
    </row>
    <row r="15">
      <c r="A15" t="inlineStr">
        <is>
          <t>LVS</t>
        </is>
      </c>
      <c r="B15" t="n">
        <v>0.03</v>
      </c>
      <c r="C15">
        <f>INDEX(TRANSPOSE(STOCKHISTORY(A15,$G$1,$H$1,0,0,1)/STOCKHISTORY(A15,$G$1,$G$1,0,0,1)),1,COLUMNS(TRANSPOSE(STOCKHISTORY(A15,$G$1,$H$1,0,0,1)/STOCKHISTORY(A15,$G$1,$G$1,0,0,1))))</f>
        <v/>
      </c>
      <c r="D15">
        <f>TRANSPOSE(STOCKHISTORY(A15,$G$1,$H$1,0,0,1)/STOCKHISTORY(A15,$G$1,$G$1,0,0,1))</f>
        <v/>
      </c>
    </row>
    <row r="16">
      <c r="A16" t="inlineStr">
        <is>
          <t>ADI</t>
        </is>
      </c>
      <c r="B16" t="n">
        <v>0.03</v>
      </c>
      <c r="C16">
        <f>INDEX(TRANSPOSE(STOCKHISTORY(A16,$G$1,$H$1,0,0,1)/STOCKHISTORY(A16,$G$1,$G$1,0,0,1)),1,COLUMNS(TRANSPOSE(STOCKHISTORY(A16,$G$1,$H$1,0,0,1)/STOCKHISTORY(A16,$G$1,$G$1,0,0,1))))</f>
        <v/>
      </c>
      <c r="D16">
        <f>TRANSPOSE(STOCKHISTORY(A16,$G$1,$H$1,0,0,1)/STOCKHISTORY(A16,$G$1,$G$1,0,0,1))</f>
        <v/>
      </c>
    </row>
    <row r="17">
      <c r="A17" t="inlineStr">
        <is>
          <t>JNJ</t>
        </is>
      </c>
      <c r="B17" t="n">
        <v>0.03</v>
      </c>
      <c r="C17">
        <f>INDEX(TRANSPOSE(STOCKHISTORY(A17,$G$1,$H$1,0,0,1)/STOCKHISTORY(A17,$G$1,$G$1,0,0,1)),1,COLUMNS(TRANSPOSE(STOCKHISTORY(A17,$G$1,$H$1,0,0,1)/STOCKHISTORY(A17,$G$1,$G$1,0,0,1))))</f>
        <v/>
      </c>
      <c r="D17">
        <f>TRANSPOSE(STOCKHISTORY(A17,$G$1,$H$1,0,0,1)/STOCKHISTORY(A17,$G$1,$G$1,0,0,1))</f>
        <v/>
      </c>
    </row>
    <row r="18">
      <c r="A18" t="inlineStr">
        <is>
          <t>KO</t>
        </is>
      </c>
      <c r="B18" t="n">
        <v>0.03</v>
      </c>
      <c r="C18">
        <f>INDEX(TRANSPOSE(STOCKHISTORY(A18,$G$1,$H$1,0,0,1)/STOCKHISTORY(A18,$G$1,$G$1,0,0,1)),1,COLUMNS(TRANSPOSE(STOCKHISTORY(A18,$G$1,$H$1,0,0,1)/STOCKHISTORY(A18,$G$1,$G$1,0,0,1))))</f>
        <v/>
      </c>
      <c r="D18">
        <f>TRANSPOSE(STOCKHISTORY(A18,$G$1,$H$1,0,0,1)/STOCKHISTORY(A18,$G$1,$G$1,0,0,1))</f>
        <v/>
      </c>
    </row>
    <row r="19">
      <c r="A19" t="inlineStr">
        <is>
          <t>GD</t>
        </is>
      </c>
      <c r="B19" t="n">
        <v>0.02</v>
      </c>
      <c r="C19">
        <f>INDEX(TRANSPOSE(STOCKHISTORY(A19,$G$1,$H$1,0,0,1)/STOCKHISTORY(A19,$G$1,$G$1,0,0,1)),1,COLUMNS(TRANSPOSE(STOCKHISTORY(A19,$G$1,$H$1,0,0,1)/STOCKHISTORY(A19,$G$1,$G$1,0,0,1))))</f>
        <v/>
      </c>
      <c r="D19">
        <f>TRANSPOSE(STOCKHISTORY(A19,$G$1,$H$1,0,0,1)/STOCKHISTORY(A19,$G$1,$G$1,0,0,1))</f>
        <v/>
      </c>
    </row>
    <row r="20">
      <c r="A20" t="inlineStr">
        <is>
          <t>NVDA</t>
        </is>
      </c>
      <c r="B20" t="n">
        <v>0.02</v>
      </c>
      <c r="C20">
        <f>INDEX(TRANSPOSE(STOCKHISTORY(A20,$G$1,$H$1,0,0,1)/STOCKHISTORY(A20,$G$1,$G$1,0,0,1)),1,COLUMNS(TRANSPOSE(STOCKHISTORY(A20,$G$1,$H$1,0,0,1)/STOCKHISTORY(A20,$G$1,$G$1,0,0,1))))</f>
        <v/>
      </c>
      <c r="D20">
        <f>TRANSPOSE(STOCKHISTORY(A20,$G$1,$H$1,0,0,1)/STOCKHISTORY(A20,$G$1,$G$1,0,0,1))</f>
        <v/>
      </c>
    </row>
    <row r="21">
      <c r="A21" t="inlineStr">
        <is>
          <t>META</t>
        </is>
      </c>
      <c r="B21" t="n">
        <v>0.02</v>
      </c>
      <c r="C21">
        <f>INDEX(TRANSPOSE(STOCKHISTORY(A21,$G$1,$H$1,0,0,1)/STOCKHISTORY(A21,$G$1,$G$1,0,0,1)),1,COLUMNS(TRANSPOSE(STOCKHISTORY(A21,$G$1,$H$1,0,0,1)/STOCKHISTORY(A21,$G$1,$G$1,0,0,1))))</f>
        <v/>
      </c>
      <c r="D21">
        <f>TRANSPOSE(STOCKHISTORY(A21,$G$1,$H$1,0,0,1)/STOCKHISTORY(A21,$G$1,$G$1,0,0,1))</f>
        <v/>
      </c>
    </row>
    <row r="22">
      <c r="A22" t="inlineStr">
        <is>
          <t>Total Return</t>
        </is>
      </c>
      <c r="B22" t="inlineStr"/>
      <c r="C22">
        <f>SUMPRODUCT(B2:B21,C2:C21)/SUM(B2:B21)</f>
        <v/>
      </c>
      <c r="D22">
        <f>SUMPRODUCT($B$2:$B$21,D2:D21)/SUM($B$2:$B$21)</f>
        <v/>
      </c>
      <c r="E22">
        <f>SUMPRODUCT($B$2:$B$21,E2:E21)/SUM($B$2:$B$21)</f>
        <v/>
      </c>
      <c r="F22">
        <f>SUMPRODUCT($B$2:$B$21,F2:F21)/SUM($B$2:$B$21)</f>
        <v/>
      </c>
      <c r="G22">
        <f>SUMPRODUCT($B$2:$B$21,G2:G21)/SUM($B$2:$B$21)</f>
        <v/>
      </c>
      <c r="H22">
        <f>SUMPRODUCT($B$2:$B$21,H2:H21)/SUM($B$2:$B$21)</f>
        <v/>
      </c>
      <c r="I22">
        <f>SUMPRODUCT($B$2:$B$21,I2:I21)/SUM($B$2:$B$21)</f>
        <v/>
      </c>
      <c r="J22">
        <f>SUMPRODUCT($B$2:$B$21,J2:J21)/SUM($B$2:$B$21)</f>
        <v/>
      </c>
      <c r="K22">
        <f>SUMPRODUCT($B$2:$B$21,K2:K21)/SUM($B$2:$B$21)</f>
        <v/>
      </c>
      <c r="L22">
        <f>SUMPRODUCT($B$2:$B$21,L2:L21)/SUM($B$2:$B$21)</f>
        <v/>
      </c>
      <c r="M22">
        <f>SUMPRODUCT($B$2:$B$21,M2:M21)/SUM($B$2:$B$21)</f>
        <v/>
      </c>
      <c r="N22">
        <f>SUMPRODUCT($B$2:$B$21,N2:N21)/SUM($B$2:$B$21)</f>
        <v/>
      </c>
    </row>
    <row r="23">
      <c r="A23" t="inlineStr">
        <is>
          <t>SPY</t>
        </is>
      </c>
      <c r="B23" t="inlineStr"/>
      <c r="C23">
        <f>INDEX(TRANSPOSE(STOCKHISTORY(A23,$G$1,$H$1,0,0,1)/STOCKHISTORY(A23,$G$1,$G$1,0,0,1)),1,COLUMNS(TRANSPOSE(STOCKHISTORY(A23,$G$1,$H$1,0,0,1)/STOCKHISTORY(A23,$G$1,$G$1,0,0,1))))</f>
        <v/>
      </c>
      <c r="D23">
        <f>TRANSPOSE(STOCKHISTORY(A23,$G$1,$H$1,0,0,1)/STOCKHISTORY(A23,$G$1,$G$1,0,0,1))</f>
        <v/>
      </c>
    </row>
    <row r="24"/>
    <row r="25">
      <c r="A25" t="inlineStr">
        <is>
          <t>Excess Return</t>
        </is>
      </c>
      <c r="B25">
        <f>C22-C23</f>
        <v/>
      </c>
    </row>
    <row r="26">
      <c r="A26" t="inlineStr">
        <is>
          <t>Beta</t>
        </is>
      </c>
    </row>
    <row r="27">
      <c r="A27" t="inlineStr">
        <is>
          <t>Alpha</t>
        </is>
      </c>
      <c r="B27">
        <f>C22-C23*B26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  <c r="C1" t="inlineStr">
        <is>
          <t>Return</t>
        </is>
      </c>
      <c r="G1" s="1" t="n">
        <v>46038</v>
      </c>
      <c r="H1" s="1" t="n">
        <v>46055</v>
      </c>
    </row>
    <row r="2">
      <c r="A2" t="inlineStr">
        <is>
          <t>TSM</t>
        </is>
      </c>
      <c r="B2" t="n">
        <v>0.1</v>
      </c>
      <c r="C2">
        <f>INDEX(TRANSPOSE(STOCKHISTORY(A2,$G$1,$H$1,0,0,1)/STOCKHISTORY(A2,$G$1,$G$1,0,0,1)),1,COLUMNS(TRANSPOSE(STOCKHISTORY(A2,$G$1,$H$1,0,0,1)/STOCKHISTORY(A2,$G$1,$G$1,0,0,1))))</f>
        <v/>
      </c>
      <c r="D2">
        <f>TRANSPOSE(STOCKHISTORY(A2,$G$1,$H$1,0,0,1)/STOCKHISTORY(A2,$G$1,$G$1,0,0,1))</f>
        <v/>
      </c>
    </row>
    <row r="3">
      <c r="A3" t="inlineStr">
        <is>
          <t>LRCX</t>
        </is>
      </c>
      <c r="B3" t="n">
        <v>0.1</v>
      </c>
      <c r="C3">
        <f>INDEX(TRANSPOSE(STOCKHISTORY(A3,$G$1,$H$1,0,0,1)/STOCKHISTORY(A3,$G$1,$G$1,0,0,1)),1,COLUMNS(TRANSPOSE(STOCKHISTORY(A3,$G$1,$H$1,0,0,1)/STOCKHISTORY(A3,$G$1,$G$1,0,0,1))))</f>
        <v/>
      </c>
      <c r="D3">
        <f>TRANSPOSE(STOCKHISTORY(A3,$G$1,$H$1,0,0,1)/STOCKHISTORY(A3,$G$1,$G$1,0,0,1))</f>
        <v/>
      </c>
    </row>
    <row r="4">
      <c r="A4" t="inlineStr">
        <is>
          <t>MRK</t>
        </is>
      </c>
      <c r="B4" t="n">
        <v>0.09</v>
      </c>
      <c r="C4">
        <f>INDEX(TRANSPOSE(STOCKHISTORY(A4,$G$1,$H$1,0,0,1)/STOCKHISTORY(A4,$G$1,$G$1,0,0,1)),1,COLUMNS(TRANSPOSE(STOCKHISTORY(A4,$G$1,$H$1,0,0,1)/STOCKHISTORY(A4,$G$1,$G$1,0,0,1))))</f>
        <v/>
      </c>
      <c r="D4">
        <f>TRANSPOSE(STOCKHISTORY(A4,$G$1,$H$1,0,0,1)/STOCKHISTORY(A4,$G$1,$G$1,0,0,1))</f>
        <v/>
      </c>
    </row>
    <row r="5">
      <c r="A5" t="inlineStr">
        <is>
          <t>GOOGL</t>
        </is>
      </c>
      <c r="B5" t="n">
        <v>0.08</v>
      </c>
      <c r="C5">
        <f>INDEX(TRANSPOSE(STOCKHISTORY(A5,$G$1,$H$1,0,0,1)/STOCKHISTORY(A5,$G$1,$G$1,0,0,1)),1,COLUMNS(TRANSPOSE(STOCKHISTORY(A5,$G$1,$H$1,0,0,1)/STOCKHISTORY(A5,$G$1,$G$1,0,0,1))))</f>
        <v/>
      </c>
      <c r="D5">
        <f>TRANSPOSE(STOCKHISTORY(A5,$G$1,$H$1,0,0,1)/STOCKHISTORY(A5,$G$1,$G$1,0,0,1))</f>
        <v/>
      </c>
    </row>
    <row r="6">
      <c r="A6" t="inlineStr">
        <is>
          <t>AMGN</t>
        </is>
      </c>
      <c r="B6" t="n">
        <v>0.08</v>
      </c>
      <c r="C6">
        <f>INDEX(TRANSPOSE(STOCKHISTORY(A6,$G$1,$H$1,0,0,1)/STOCKHISTORY(A6,$G$1,$G$1,0,0,1)),1,COLUMNS(TRANSPOSE(STOCKHISTORY(A6,$G$1,$H$1,0,0,1)/STOCKHISTORY(A6,$G$1,$G$1,0,0,1))))</f>
        <v/>
      </c>
      <c r="D6">
        <f>TRANSPOSE(STOCKHISTORY(A6,$G$1,$H$1,0,0,1)/STOCKHISTORY(A6,$G$1,$G$1,0,0,1))</f>
        <v/>
      </c>
    </row>
    <row r="7">
      <c r="A7" t="inlineStr">
        <is>
          <t>NDAQ</t>
        </is>
      </c>
      <c r="B7" t="n">
        <v>0.06</v>
      </c>
      <c r="C7">
        <f>INDEX(TRANSPOSE(STOCKHISTORY(A7,$G$1,$H$1,0,0,1)/STOCKHISTORY(A7,$G$1,$G$1,0,0,1)),1,COLUMNS(TRANSPOSE(STOCKHISTORY(A7,$G$1,$H$1,0,0,1)/STOCKHISTORY(A7,$G$1,$G$1,0,0,1))))</f>
        <v/>
      </c>
      <c r="D7">
        <f>TRANSPOSE(STOCKHISTORY(A7,$G$1,$H$1,0,0,1)/STOCKHISTORY(A7,$G$1,$G$1,0,0,1))</f>
        <v/>
      </c>
    </row>
    <row r="8">
      <c r="A8" t="inlineStr">
        <is>
          <t>PFE</t>
        </is>
      </c>
      <c r="B8" t="n">
        <v>0.06</v>
      </c>
      <c r="C8">
        <f>INDEX(TRANSPOSE(STOCKHISTORY(A8,$G$1,$H$1,0,0,1)/STOCKHISTORY(A8,$G$1,$G$1,0,0,1)),1,COLUMNS(TRANSPOSE(STOCKHISTORY(A8,$G$1,$H$1,0,0,1)/STOCKHISTORY(A8,$G$1,$G$1,0,0,1))))</f>
        <v/>
      </c>
      <c r="D8">
        <f>TRANSPOSE(STOCKHISTORY(A8,$G$1,$H$1,0,0,1)/STOCKHISTORY(A8,$G$1,$G$1,0,0,1))</f>
        <v/>
      </c>
    </row>
    <row r="9">
      <c r="A9" t="inlineStr">
        <is>
          <t>CSCO</t>
        </is>
      </c>
      <c r="B9" t="n">
        <v>0.05</v>
      </c>
      <c r="C9">
        <f>INDEX(TRANSPOSE(STOCKHISTORY(A9,$G$1,$H$1,0,0,1)/STOCKHISTORY(A9,$G$1,$G$1,0,0,1)),1,COLUMNS(TRANSPOSE(STOCKHISTORY(A9,$G$1,$H$1,0,0,1)/STOCKHISTORY(A9,$G$1,$G$1,0,0,1))))</f>
        <v/>
      </c>
      <c r="D9">
        <f>TRANSPOSE(STOCKHISTORY(A9,$G$1,$H$1,0,0,1)/STOCKHISTORY(A9,$G$1,$G$1,0,0,1))</f>
        <v/>
      </c>
    </row>
    <row r="10">
      <c r="A10" t="inlineStr">
        <is>
          <t>KO</t>
        </is>
      </c>
      <c r="B10" t="n">
        <v>0.05</v>
      </c>
      <c r="C10">
        <f>INDEX(TRANSPOSE(STOCKHISTORY(A10,$G$1,$H$1,0,0,1)/STOCKHISTORY(A10,$G$1,$G$1,0,0,1)),1,COLUMNS(TRANSPOSE(STOCKHISTORY(A10,$G$1,$H$1,0,0,1)/STOCKHISTORY(A10,$G$1,$G$1,0,0,1))))</f>
        <v/>
      </c>
      <c r="D10">
        <f>TRANSPOSE(STOCKHISTORY(A10,$G$1,$H$1,0,0,1)/STOCKHISTORY(A10,$G$1,$G$1,0,0,1))</f>
        <v/>
      </c>
    </row>
    <row r="11">
      <c r="A11" t="inlineStr">
        <is>
          <t>ADI</t>
        </is>
      </c>
      <c r="B11" t="n">
        <v>0.05</v>
      </c>
      <c r="C11">
        <f>INDEX(TRANSPOSE(STOCKHISTORY(A11,$G$1,$H$1,0,0,1)/STOCKHISTORY(A11,$G$1,$G$1,0,0,1)),1,COLUMNS(TRANSPOSE(STOCKHISTORY(A11,$G$1,$H$1,0,0,1)/STOCKHISTORY(A11,$G$1,$G$1,0,0,1))))</f>
        <v/>
      </c>
      <c r="D11">
        <f>TRANSPOSE(STOCKHISTORY(A11,$G$1,$H$1,0,0,1)/STOCKHISTORY(A11,$G$1,$G$1,0,0,1))</f>
        <v/>
      </c>
    </row>
    <row r="12">
      <c r="A12" t="inlineStr">
        <is>
          <t>NOW</t>
        </is>
      </c>
      <c r="B12" t="n">
        <v>0.04</v>
      </c>
      <c r="C12">
        <f>INDEX(TRANSPOSE(STOCKHISTORY(A12,$G$1,$H$1,0,0,1)/STOCKHISTORY(A12,$G$1,$G$1,0,0,1)),1,COLUMNS(TRANSPOSE(STOCKHISTORY(A12,$G$1,$H$1,0,0,1)/STOCKHISTORY(A12,$G$1,$G$1,0,0,1))))</f>
        <v/>
      </c>
      <c r="D12">
        <f>TRANSPOSE(STOCKHISTORY(A12,$G$1,$H$1,0,0,1)/STOCKHISTORY(A12,$G$1,$G$1,0,0,1))</f>
        <v/>
      </c>
    </row>
    <row r="13">
      <c r="A13" t="inlineStr">
        <is>
          <t>NVDA</t>
        </is>
      </c>
      <c r="B13" t="n">
        <v>0.02</v>
      </c>
      <c r="C13">
        <f>INDEX(TRANSPOSE(STOCKHISTORY(A13,$G$1,$H$1,0,0,1)/STOCKHISTORY(A13,$G$1,$G$1,0,0,1)),1,COLUMNS(TRANSPOSE(STOCKHISTORY(A13,$G$1,$H$1,0,0,1)/STOCKHISTORY(A13,$G$1,$G$1,0,0,1))))</f>
        <v/>
      </c>
      <c r="D13">
        <f>TRANSPOSE(STOCKHISTORY(A13,$G$1,$H$1,0,0,1)/STOCKHISTORY(A13,$G$1,$G$1,0,0,1))</f>
        <v/>
      </c>
    </row>
    <row r="14">
      <c r="A14" t="inlineStr">
        <is>
          <t>PG</t>
        </is>
      </c>
      <c r="B14" t="n">
        <v>0.04</v>
      </c>
      <c r="C14">
        <f>INDEX(TRANSPOSE(STOCKHISTORY(A14,$G$1,$H$1,0,0,1)/STOCKHISTORY(A14,$G$1,$G$1,0,0,1)),1,COLUMNS(TRANSPOSE(STOCKHISTORY(A14,$G$1,$H$1,0,0,1)/STOCKHISTORY(A14,$G$1,$G$1,0,0,1))))</f>
        <v/>
      </c>
      <c r="D14">
        <f>TRANSPOSE(STOCKHISTORY(A14,$G$1,$H$1,0,0,1)/STOCKHISTORY(A14,$G$1,$G$1,0,0,1))</f>
        <v/>
      </c>
    </row>
    <row r="15">
      <c r="A15" t="inlineStr">
        <is>
          <t>MDT</t>
        </is>
      </c>
      <c r="B15" t="n">
        <v>0.04</v>
      </c>
      <c r="C15">
        <f>INDEX(TRANSPOSE(STOCKHISTORY(A15,$G$1,$H$1,0,0,1)/STOCKHISTORY(A15,$G$1,$G$1,0,0,1)),1,COLUMNS(TRANSPOSE(STOCKHISTORY(A15,$G$1,$H$1,0,0,1)/STOCKHISTORY(A15,$G$1,$G$1,0,0,1))))</f>
        <v/>
      </c>
      <c r="D15">
        <f>TRANSPOSE(STOCKHISTORY(A15,$G$1,$H$1,0,0,1)/STOCKHISTORY(A15,$G$1,$G$1,0,0,1))</f>
        <v/>
      </c>
    </row>
    <row r="16">
      <c r="A16" t="inlineStr">
        <is>
          <t>PEP</t>
        </is>
      </c>
      <c r="B16" t="n">
        <v>0.03</v>
      </c>
      <c r="C16">
        <f>INDEX(TRANSPOSE(STOCKHISTORY(A16,$G$1,$H$1,0,0,1)/STOCKHISTORY(A16,$G$1,$G$1,0,0,1)),1,COLUMNS(TRANSPOSE(STOCKHISTORY(A16,$G$1,$H$1,0,0,1)/STOCKHISTORY(A16,$G$1,$G$1,0,0,1))))</f>
        <v/>
      </c>
      <c r="D16">
        <f>TRANSPOSE(STOCKHISTORY(A16,$G$1,$H$1,0,0,1)/STOCKHISTORY(A16,$G$1,$G$1,0,0,1))</f>
        <v/>
      </c>
    </row>
    <row r="17">
      <c r="A17" t="inlineStr">
        <is>
          <t>XOM</t>
        </is>
      </c>
      <c r="B17" t="n">
        <v>0.03</v>
      </c>
      <c r="C17">
        <f>INDEX(TRANSPOSE(STOCKHISTORY(A17,$G$1,$H$1,0,0,1)/STOCKHISTORY(A17,$G$1,$G$1,0,0,1)),1,COLUMNS(TRANSPOSE(STOCKHISTORY(A17,$G$1,$H$1,0,0,1)/STOCKHISTORY(A17,$G$1,$G$1,0,0,1))))</f>
        <v/>
      </c>
      <c r="D17">
        <f>TRANSPOSE(STOCKHISTORY(A17,$G$1,$H$1,0,0,1)/STOCKHISTORY(A17,$G$1,$G$1,0,0,1))</f>
        <v/>
      </c>
    </row>
    <row r="18">
      <c r="A18" t="inlineStr">
        <is>
          <t>JNJ</t>
        </is>
      </c>
      <c r="B18" t="n">
        <v>0.02</v>
      </c>
      <c r="C18">
        <f>INDEX(TRANSPOSE(STOCKHISTORY(A18,$G$1,$H$1,0,0,1)/STOCKHISTORY(A18,$G$1,$G$1,0,0,1)),1,COLUMNS(TRANSPOSE(STOCKHISTORY(A18,$G$1,$H$1,0,0,1)/STOCKHISTORY(A18,$G$1,$G$1,0,0,1))))</f>
        <v/>
      </c>
      <c r="D18">
        <f>TRANSPOSE(STOCKHISTORY(A18,$G$1,$H$1,0,0,1)/STOCKHISTORY(A18,$G$1,$G$1,0,0,1))</f>
        <v/>
      </c>
    </row>
    <row r="19">
      <c r="A19" t="inlineStr">
        <is>
          <t>TMO</t>
        </is>
      </c>
      <c r="B19" t="n">
        <v>0.02</v>
      </c>
      <c r="C19">
        <f>INDEX(TRANSPOSE(STOCKHISTORY(A19,$G$1,$H$1,0,0,1)/STOCKHISTORY(A19,$G$1,$G$1,0,0,1)),1,COLUMNS(TRANSPOSE(STOCKHISTORY(A19,$G$1,$H$1,0,0,1)/STOCKHISTORY(A19,$G$1,$G$1,0,0,1))))</f>
        <v/>
      </c>
      <c r="D19">
        <f>TRANSPOSE(STOCKHISTORY(A19,$G$1,$H$1,0,0,1)/STOCKHISTORY(A19,$G$1,$G$1,0,0,1))</f>
        <v/>
      </c>
    </row>
    <row r="20">
      <c r="A20" t="inlineStr">
        <is>
          <t>V</t>
        </is>
      </c>
      <c r="B20" t="n">
        <v>0.02</v>
      </c>
      <c r="C20">
        <f>INDEX(TRANSPOSE(STOCKHISTORY(A20,$G$1,$H$1,0,0,1)/STOCKHISTORY(A20,$G$1,$G$1,0,0,1)),1,COLUMNS(TRANSPOSE(STOCKHISTORY(A20,$G$1,$H$1,0,0,1)/STOCKHISTORY(A20,$G$1,$G$1,0,0,1))))</f>
        <v/>
      </c>
      <c r="D20">
        <f>TRANSPOSE(STOCKHISTORY(A20,$G$1,$H$1,0,0,1)/STOCKHISTORY(A20,$G$1,$G$1,0,0,1))</f>
        <v/>
      </c>
    </row>
    <row r="21">
      <c r="A21" t="inlineStr">
        <is>
          <t>MA</t>
        </is>
      </c>
      <c r="B21" t="n">
        <v>0.02</v>
      </c>
      <c r="C21">
        <f>INDEX(TRANSPOSE(STOCKHISTORY(A21,$G$1,$H$1,0,0,1)/STOCKHISTORY(A21,$G$1,$G$1,0,0,1)),1,COLUMNS(TRANSPOSE(STOCKHISTORY(A21,$G$1,$H$1,0,0,1)/STOCKHISTORY(A21,$G$1,$G$1,0,0,1))))</f>
        <v/>
      </c>
      <c r="D21">
        <f>TRANSPOSE(STOCKHISTORY(A21,$G$1,$H$1,0,0,1)/STOCKHISTORY(A21,$G$1,$G$1,0,0,1))</f>
        <v/>
      </c>
    </row>
    <row r="22">
      <c r="A22" t="inlineStr">
        <is>
          <t>Total Return</t>
        </is>
      </c>
      <c r="B22" t="inlineStr"/>
      <c r="C22">
        <f>SUMPRODUCT(B2:B21,C2:C21)/SUM(B2:B21)</f>
        <v/>
      </c>
      <c r="D22">
        <f>SUMPRODUCT($B$2:$B$21,D2:D21)/SUM($B$2:$B$21)</f>
        <v/>
      </c>
      <c r="E22">
        <f>SUMPRODUCT($B$2:$B$21,E2:E21)/SUM($B$2:$B$21)</f>
        <v/>
      </c>
      <c r="F22">
        <f>SUMPRODUCT($B$2:$B$21,F2:F21)/SUM($B$2:$B$21)</f>
        <v/>
      </c>
      <c r="G22">
        <f>SUMPRODUCT($B$2:$B$21,G2:G21)/SUM($B$2:$B$21)</f>
        <v/>
      </c>
      <c r="H22">
        <f>SUMPRODUCT($B$2:$B$21,H2:H21)/SUM($B$2:$B$21)</f>
        <v/>
      </c>
      <c r="I22">
        <f>SUMPRODUCT($B$2:$B$21,I2:I21)/SUM($B$2:$B$21)</f>
        <v/>
      </c>
      <c r="J22">
        <f>SUMPRODUCT($B$2:$B$21,J2:J21)/SUM($B$2:$B$21)</f>
        <v/>
      </c>
      <c r="K22">
        <f>SUMPRODUCT($B$2:$B$21,K2:K21)/SUM($B$2:$B$21)</f>
        <v/>
      </c>
      <c r="L22">
        <f>SUMPRODUCT($B$2:$B$21,L2:L21)/SUM($B$2:$B$21)</f>
        <v/>
      </c>
      <c r="M22">
        <f>SUMPRODUCT($B$2:$B$21,M2:M21)/SUM($B$2:$B$21)</f>
        <v/>
      </c>
      <c r="N22">
        <f>SUMPRODUCT($B$2:$B$21,N2:N21)/SUM($B$2:$B$21)</f>
        <v/>
      </c>
    </row>
    <row r="23">
      <c r="A23" t="inlineStr">
        <is>
          <t>SPY</t>
        </is>
      </c>
      <c r="B23" t="inlineStr"/>
      <c r="C23">
        <f>INDEX(TRANSPOSE(STOCKHISTORY(A23,$G$1,$H$1,0,0,1)/STOCKHISTORY(A23,$G$1,$G$1,0,0,1)),1,COLUMNS(TRANSPOSE(STOCKHISTORY(A23,$G$1,$H$1,0,0,1)/STOCKHISTORY(A23,$G$1,$G$1,0,0,1))))</f>
        <v/>
      </c>
      <c r="D23">
        <f>TRANSPOSE(STOCKHISTORY(A23,$G$1,$H$1,0,0,1)/STOCKHISTORY(A23,$G$1,$G$1,0,0,1))</f>
        <v/>
      </c>
    </row>
    <row r="24"/>
    <row r="25">
      <c r="A25" t="inlineStr">
        <is>
          <t>Excess Return</t>
        </is>
      </c>
      <c r="B25">
        <f>C22-C23</f>
        <v/>
      </c>
    </row>
    <row r="26">
      <c r="A26" t="inlineStr">
        <is>
          <t>Beta</t>
        </is>
      </c>
    </row>
    <row r="27">
      <c r="A27" t="inlineStr">
        <is>
          <t>Alpha</t>
        </is>
      </c>
      <c r="B27">
        <f>C22-C23*B26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2026-02-03T21:22:14Z</dcterms:created>
  <dcterms:modified xsi:type="dcterms:W3CDTF">2026-02-03T21:22:14Z</dcterms:modified>
</cp:coreProperties>
</file>