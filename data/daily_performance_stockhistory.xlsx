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anuary 2026 (2nd-16th)" sheetId="1" r:id="rId1"/>
    <sheet name="January 2026 (16th-2nd)" sheetId="2" r:id="rId2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<sst xmlns="http://schemas.openxmlformats.org/spreadsheetml/2006/main" count="54" uniqueCount="36">
  <si>
    <t>Ticker</t>
  </si>
  <si>
    <t>Weight</t>
  </si>
  <si>
    <t>Return</t>
  </si>
  <si>
    <t>NEM</t>
  </si>
  <si>
    <t>MRK</t>
  </si>
  <si>
    <t>GOOGL</t>
  </si>
  <si>
    <t>BKNG</t>
  </si>
  <si>
    <t>V</t>
  </si>
  <si>
    <t>MA</t>
  </si>
  <si>
    <t>PFE</t>
  </si>
  <si>
    <t>QCOM</t>
  </si>
  <si>
    <t>LRCX</t>
  </si>
  <si>
    <t>JPM</t>
  </si>
  <si>
    <t>AAPL</t>
  </si>
  <si>
    <t>REGN</t>
  </si>
  <si>
    <t>AMGN</t>
  </si>
  <si>
    <t>LVS</t>
  </si>
  <si>
    <t>ADI</t>
  </si>
  <si>
    <t>JNJ</t>
  </si>
  <si>
    <t>KO</t>
  </si>
  <si>
    <t>GD</t>
  </si>
  <si>
    <t>NVDA</t>
  </si>
  <si>
    <t>META</t>
  </si>
  <si>
    <t>Total Return</t>
  </si>
  <si>
    <t>SPY</t>
  </si>
  <si>
    <t>Excess Return</t>
  </si>
  <si>
    <t>Beta</t>
  </si>
  <si>
    <t>TSM</t>
  </si>
  <si>
    <t>NDAQ</t>
  </si>
  <si>
    <t>CSCO</t>
  </si>
  <si>
    <t>NOW</t>
  </si>
  <si>
    <t>PG</t>
  </si>
  <si>
    <t>MDT</t>
  </si>
  <si>
    <t>PEP</t>
  </si>
  <si>
    <t>XOM</t>
  </si>
  <si>
    <t>TMO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</si>
</sst>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7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G1" s="1">
        <v>46027</v>
      </c>
      <c r="H1" s="1">
        <v>46038</v>
      </c>
    </row>
    <row r="2" spans="1:8">
      <c r="A2" t="s">
        <v>3</v>
      </c>
      <c r="B2">
        <v>0.1</v>
      </c>
      <c r="C2">
        <f>INDEX(TRANSPOSE(STOCKHISTORY(A2,$G$1,$H$1,0,0,1)/STOCKHISTORY(A2,$G$1,$G$1,0,0,1)),1,COLUMNS(TRANSPOSE(STOCKHISTORY(A2,$G$1,$H$1,0,0,1)/STOCKHISTORY(A2,$G$1,$G$1,0,0,1))))</f>
        <v>0</v>
      </c>
      <c r="D2" cm="1">
        <f t="array" ref="D2">TRANSPOSE(STOCKHISTORY(A2,$G$1,$H$1,0,0,1)/STOCKHISTORY(A2,$G$1,$G$1,0,0,1))</f>
        <v>0</v>
      </c>
    </row>
    <row r="3" spans="1:8">
      <c r="A3" t="s">
        <v>4</v>
      </c>
      <c r="B3">
        <v>0.09</v>
      </c>
      <c r="C3">
        <f>INDEX(TRANSPOSE(STOCKHISTORY(A3,$G$1,$H$1,0,0,1)/STOCKHISTORY(A3,$G$1,$G$1,0,0,1)),1,COLUMNS(TRANSPOSE(STOCKHISTORY(A3,$G$1,$H$1,0,0,1)/STOCKHISTORY(A3,$G$1,$G$1,0,0,1))))</f>
        <v>0</v>
      </c>
      <c r="D3" cm="1">
        <f t="array" ref="D3">TRANSPOSE(STOCKHISTORY(A3,$G$1,$H$1,0,0,1)/STOCKHISTORY(A3,$G$1,$G$1,0,0,1))</f>
        <v>0</v>
      </c>
    </row>
    <row r="4" spans="1:8">
      <c r="A4" t="s">
        <v>5</v>
      </c>
      <c r="B4">
        <v>0.08</v>
      </c>
      <c r="C4">
        <f>INDEX(TRANSPOSE(STOCKHISTORY(A4,$G$1,$H$1,0,0,1)/STOCKHISTORY(A4,$G$1,$G$1,0,0,1)),1,COLUMNS(TRANSPOSE(STOCKHISTORY(A4,$G$1,$H$1,0,0,1)/STOCKHISTORY(A4,$G$1,$G$1,0,0,1))))</f>
        <v>0</v>
      </c>
      <c r="D4" cm="1">
        <f t="array" ref="D4">TRANSPOSE(STOCKHISTORY(A4,$G$1,$H$1,0,0,1)/STOCKHISTORY(A4,$G$1,$G$1,0,0,1))</f>
        <v>0</v>
      </c>
    </row>
    <row r="5" spans="1:8">
      <c r="A5" t="s">
        <v>6</v>
      </c>
      <c r="B5">
        <v>0.07000000000000001</v>
      </c>
      <c r="C5">
        <f>INDEX(TRANSPOSE(STOCKHISTORY(A5,$G$1,$H$1,0,0,1)/STOCKHISTORY(A5,$G$1,$G$1,0,0,1)),1,COLUMNS(TRANSPOSE(STOCKHISTORY(A5,$G$1,$H$1,0,0,1)/STOCKHISTORY(A5,$G$1,$G$1,0,0,1))))</f>
        <v>0</v>
      </c>
      <c r="D5" cm="1">
        <f t="array" ref="D5">TRANSPOSE(STOCKHISTORY(A5,$G$1,$H$1,0,0,1)/STOCKHISTORY(A5,$G$1,$G$1,0,0,1))</f>
        <v>0</v>
      </c>
    </row>
    <row r="6" spans="1:8">
      <c r="A6" t="s">
        <v>7</v>
      </c>
      <c r="B6">
        <v>0.07000000000000001</v>
      </c>
      <c r="C6">
        <f>INDEX(TRANSPOSE(STOCKHISTORY(A6,$G$1,$H$1,0,0,1)/STOCKHISTORY(A6,$G$1,$G$1,0,0,1)),1,COLUMNS(TRANSPOSE(STOCKHISTORY(A6,$G$1,$H$1,0,0,1)/STOCKHISTORY(A6,$G$1,$G$1,0,0,1))))</f>
        <v>0</v>
      </c>
      <c r="D6" cm="1">
        <f t="array" ref="D6">TRANSPOSE(STOCKHISTORY(A6,$G$1,$H$1,0,0,1)/STOCKHISTORY(A6,$G$1,$G$1,0,0,1))</f>
        <v>0</v>
      </c>
    </row>
    <row r="7" spans="1:8">
      <c r="A7" t="s">
        <v>8</v>
      </c>
      <c r="B7">
        <v>0.06</v>
      </c>
      <c r="C7">
        <f>INDEX(TRANSPOSE(STOCKHISTORY(A7,$G$1,$H$1,0,0,1)/STOCKHISTORY(A7,$G$1,$G$1,0,0,1)),1,COLUMNS(TRANSPOSE(STOCKHISTORY(A7,$G$1,$H$1,0,0,1)/STOCKHISTORY(A7,$G$1,$G$1,0,0,1))))</f>
        <v>0</v>
      </c>
      <c r="D7" cm="1">
        <f t="array" ref="D7">TRANSPOSE(STOCKHISTORY(A7,$G$1,$H$1,0,0,1)/STOCKHISTORY(A7,$G$1,$G$1,0,0,1))</f>
        <v>0</v>
      </c>
    </row>
    <row r="8" spans="1:8">
      <c r="A8" t="s">
        <v>9</v>
      </c>
      <c r="B8">
        <v>0.06</v>
      </c>
      <c r="C8">
        <f>INDEX(TRANSPOSE(STOCKHISTORY(A8,$G$1,$H$1,0,0,1)/STOCKHISTORY(A8,$G$1,$G$1,0,0,1)),1,COLUMNS(TRANSPOSE(STOCKHISTORY(A8,$G$1,$H$1,0,0,1)/STOCKHISTORY(A8,$G$1,$G$1,0,0,1))))</f>
        <v>0</v>
      </c>
      <c r="D8" cm="1">
        <f t="array" ref="D8">TRANSPOSE(STOCKHISTORY(A8,$G$1,$H$1,0,0,1)/STOCKHISTORY(A8,$G$1,$G$1,0,0,1))</f>
        <v>0</v>
      </c>
    </row>
    <row r="9" spans="1:8">
      <c r="A9" t="s">
        <v>10</v>
      </c>
      <c r="B9">
        <v>0.06</v>
      </c>
      <c r="C9">
        <f>INDEX(TRANSPOSE(STOCKHISTORY(A9,$G$1,$H$1,0,0,1)/STOCKHISTORY(A9,$G$1,$G$1,0,0,1)),1,COLUMNS(TRANSPOSE(STOCKHISTORY(A9,$G$1,$H$1,0,0,1)/STOCKHISTORY(A9,$G$1,$G$1,0,0,1))))</f>
        <v>0</v>
      </c>
      <c r="D9" cm="1">
        <f t="array" ref="D9">TRANSPOSE(STOCKHISTORY(A9,$G$1,$H$1,0,0,1)/STOCKHISTORY(A9,$G$1,$G$1,0,0,1))</f>
        <v>0</v>
      </c>
    </row>
    <row r="10" spans="1:8">
      <c r="A10" t="s">
        <v>11</v>
      </c>
      <c r="B10">
        <v>0.06</v>
      </c>
      <c r="C10">
        <f>INDEX(TRANSPOSE(STOCKHISTORY(A10,$G$1,$H$1,0,0,1)/STOCKHISTORY(A10,$G$1,$G$1,0,0,1)),1,COLUMNS(TRANSPOSE(STOCKHISTORY(A10,$G$1,$H$1,0,0,1)/STOCKHISTORY(A10,$G$1,$G$1,0,0,1))))</f>
        <v>0</v>
      </c>
      <c r="D10" cm="1">
        <f t="array" ref="D10">TRANSPOSE(STOCKHISTORY(A10,$G$1,$H$1,0,0,1)/STOCKHISTORY(A10,$G$1,$G$1,0,0,1))</f>
        <v>0</v>
      </c>
    </row>
    <row r="11" spans="1:8">
      <c r="A11" t="s">
        <v>12</v>
      </c>
      <c r="B11">
        <v>0.05</v>
      </c>
      <c r="C11">
        <f>INDEX(TRANSPOSE(STOCKHISTORY(A11,$G$1,$H$1,0,0,1)/STOCKHISTORY(A11,$G$1,$G$1,0,0,1)),1,COLUMNS(TRANSPOSE(STOCKHISTORY(A11,$G$1,$H$1,0,0,1)/STOCKHISTORY(A11,$G$1,$G$1,0,0,1))))</f>
        <v>0</v>
      </c>
      <c r="D11" cm="1">
        <f t="array" ref="D11">TRANSPOSE(STOCKHISTORY(A11,$G$1,$H$1,0,0,1)/STOCKHISTORY(A11,$G$1,$G$1,0,0,1))</f>
        <v>0</v>
      </c>
    </row>
    <row r="12" spans="1:8">
      <c r="A12" t="s">
        <v>13</v>
      </c>
      <c r="B12">
        <v>0.04</v>
      </c>
      <c r="C12">
        <f>INDEX(TRANSPOSE(STOCKHISTORY(A12,$G$1,$H$1,0,0,1)/STOCKHISTORY(A12,$G$1,$G$1,0,0,1)),1,COLUMNS(TRANSPOSE(STOCKHISTORY(A12,$G$1,$H$1,0,0,1)/STOCKHISTORY(A12,$G$1,$G$1,0,0,1))))</f>
        <v>0</v>
      </c>
      <c r="D12" cm="1">
        <f t="array" ref="D12">TRANSPOSE(STOCKHISTORY(A12,$G$1,$H$1,0,0,1)/STOCKHISTORY(A12,$G$1,$G$1,0,0,1))</f>
        <v>0</v>
      </c>
    </row>
    <row r="13" spans="1:8">
      <c r="A13" t="s">
        <v>14</v>
      </c>
      <c r="B13">
        <v>0.04</v>
      </c>
      <c r="C13">
        <f>INDEX(TRANSPOSE(STOCKHISTORY(A13,$G$1,$H$1,0,0,1)/STOCKHISTORY(A13,$G$1,$G$1,0,0,1)),1,COLUMNS(TRANSPOSE(STOCKHISTORY(A13,$G$1,$H$1,0,0,1)/STOCKHISTORY(A13,$G$1,$G$1,0,0,1))))</f>
        <v>0</v>
      </c>
      <c r="D13" cm="1">
        <f t="array" ref="D13">TRANSPOSE(STOCKHISTORY(A13,$G$1,$H$1,0,0,1)/STOCKHISTORY(A13,$G$1,$G$1,0,0,1))</f>
        <v>0</v>
      </c>
    </row>
    <row r="14" spans="1:8">
      <c r="A14" t="s">
        <v>15</v>
      </c>
      <c r="B14">
        <v>0.04</v>
      </c>
      <c r="C14">
        <f>INDEX(TRANSPOSE(STOCKHISTORY(A14,$G$1,$H$1,0,0,1)/STOCKHISTORY(A14,$G$1,$G$1,0,0,1)),1,COLUMNS(TRANSPOSE(STOCKHISTORY(A14,$G$1,$H$1,0,0,1)/STOCKHISTORY(A14,$G$1,$G$1,0,0,1))))</f>
        <v>0</v>
      </c>
      <c r="D14" cm="1">
        <f t="array" ref="D14">TRANSPOSE(STOCKHISTORY(A14,$G$1,$H$1,0,0,1)/STOCKHISTORY(A14,$G$1,$G$1,0,0,1))</f>
        <v>0</v>
      </c>
    </row>
    <row r="15" spans="1:8">
      <c r="A15" t="s">
        <v>16</v>
      </c>
      <c r="B15">
        <v>0.03</v>
      </c>
      <c r="C15">
        <f>INDEX(TRANSPOSE(STOCKHISTORY(A15,$G$1,$H$1,0,0,1)/STOCKHISTORY(A15,$G$1,$G$1,0,0,1)),1,COLUMNS(TRANSPOSE(STOCKHISTORY(A15,$G$1,$H$1,0,0,1)/STOCKHISTORY(A15,$G$1,$G$1,0,0,1))))</f>
        <v>0</v>
      </c>
      <c r="D15" cm="1">
        <f t="array" ref="D15">TRANSPOSE(STOCKHISTORY(A15,$G$1,$H$1,0,0,1)/STOCKHISTORY(A15,$G$1,$G$1,0,0,1))</f>
        <v>0</v>
      </c>
    </row>
    <row r="16" spans="1:8">
      <c r="A16" t="s">
        <v>17</v>
      </c>
      <c r="B16">
        <v>0.03</v>
      </c>
      <c r="C16">
        <f>INDEX(TRANSPOSE(STOCKHISTORY(A16,$G$1,$H$1,0,0,1)/STOCKHISTORY(A16,$G$1,$G$1,0,0,1)),1,COLUMNS(TRANSPOSE(STOCKHISTORY(A16,$G$1,$H$1,0,0,1)/STOCKHISTORY(A16,$G$1,$G$1,0,0,1))))</f>
        <v>0</v>
      </c>
      <c r="D16" cm="1">
        <f t="array" ref="D16">TRANSPOSE(STOCKHISTORY(A16,$G$1,$H$1,0,0,1)/STOCKHISTORY(A16,$G$1,$G$1,0,0,1))</f>
        <v>0</v>
      </c>
    </row>
    <row r="17" spans="1:14">
      <c r="A17" t="s">
        <v>18</v>
      </c>
      <c r="B17">
        <v>0.03</v>
      </c>
      <c r="C17">
        <f>INDEX(TRANSPOSE(STOCKHISTORY(A17,$G$1,$H$1,0,0,1)/STOCKHISTORY(A17,$G$1,$G$1,0,0,1)),1,COLUMNS(TRANSPOSE(STOCKHISTORY(A17,$G$1,$H$1,0,0,1)/STOCKHISTORY(A17,$G$1,$G$1,0,0,1))))</f>
        <v>0</v>
      </c>
      <c r="D17" cm="1">
        <f t="array" ref="D17">TRANSPOSE(STOCKHISTORY(A17,$G$1,$H$1,0,0,1)/STOCKHISTORY(A17,$G$1,$G$1,0,0,1))</f>
        <v>0</v>
      </c>
    </row>
    <row r="18" spans="1:14">
      <c r="A18" t="s">
        <v>19</v>
      </c>
      <c r="B18">
        <v>0.03</v>
      </c>
      <c r="C18">
        <f>INDEX(TRANSPOSE(STOCKHISTORY(A18,$G$1,$H$1,0,0,1)/STOCKHISTORY(A18,$G$1,$G$1,0,0,1)),1,COLUMNS(TRANSPOSE(STOCKHISTORY(A18,$G$1,$H$1,0,0,1)/STOCKHISTORY(A18,$G$1,$G$1,0,0,1))))</f>
        <v>0</v>
      </c>
      <c r="D18" cm="1">
        <f t="array" ref="D18">TRANSPOSE(STOCKHISTORY(A18,$G$1,$H$1,0,0,1)/STOCKHISTORY(A18,$G$1,$G$1,0,0,1))</f>
        <v>0</v>
      </c>
    </row>
    <row r="19" spans="1:14">
      <c r="A19" t="s">
        <v>20</v>
      </c>
      <c r="B19">
        <v>0.02</v>
      </c>
      <c r="C19">
        <f>INDEX(TRANSPOSE(STOCKHISTORY(A19,$G$1,$H$1,0,0,1)/STOCKHISTORY(A19,$G$1,$G$1,0,0,1)),1,COLUMNS(TRANSPOSE(STOCKHISTORY(A19,$G$1,$H$1,0,0,1)/STOCKHISTORY(A19,$G$1,$G$1,0,0,1))))</f>
        <v>0</v>
      </c>
      <c r="D19" cm="1">
        <f t="array" ref="D19">TRANSPOSE(STOCKHISTORY(A19,$G$1,$H$1,0,0,1)/STOCKHISTORY(A19,$G$1,$G$1,0,0,1))</f>
        <v>0</v>
      </c>
    </row>
    <row r="20" spans="1:14">
      <c r="A20" t="s">
        <v>21</v>
      </c>
      <c r="B20">
        <v>0.02</v>
      </c>
      <c r="C20">
        <f>INDEX(TRANSPOSE(STOCKHISTORY(A20,$G$1,$H$1,0,0,1)/STOCKHISTORY(A20,$G$1,$G$1,0,0,1)),1,COLUMNS(TRANSPOSE(STOCKHISTORY(A20,$G$1,$H$1,0,0,1)/STOCKHISTORY(A20,$G$1,$G$1,0,0,1))))</f>
        <v>0</v>
      </c>
      <c r="D20" cm="1">
        <f t="array" ref="D20">TRANSPOSE(STOCKHISTORY(A20,$G$1,$H$1,0,0,1)/STOCKHISTORY(A20,$G$1,$G$1,0,0,1))</f>
        <v>0</v>
      </c>
    </row>
    <row r="21" spans="1:14">
      <c r="A21" t="s">
        <v>22</v>
      </c>
      <c r="B21">
        <v>0.02</v>
      </c>
      <c r="C21">
        <f>INDEX(TRANSPOSE(STOCKHISTORY(A21,$G$1,$H$1,0,0,1)/STOCKHISTORY(A21,$G$1,$G$1,0,0,1)),1,COLUMNS(TRANSPOSE(STOCKHISTORY(A21,$G$1,$H$1,0,0,1)/STOCKHISTORY(A21,$G$1,$G$1,0,0,1))))</f>
        <v>0</v>
      </c>
      <c r="D21" cm="1">
        <f t="array" ref="D21">TRANSPOSE(STOCKHISTORY(A21,$G$1,$H$1,0,0,1)/STOCKHISTORY(A21,$G$1,$G$1,0,0,1))</f>
        <v>0</v>
      </c>
    </row>
    <row r="22" spans="1:14">
      <c r="A22" t="s">
        <v>23</v>
      </c>
      <c r="C22">
        <f>SUMPRODUCT(B2:B21,C2:C21)/SUM(B2:B21)</f>
        <v>0</v>
      </c>
      <c r="D22">
        <f>SUMPRODUCT($B$2:$B$21,D2:D21)/SUM($B$2:$B$21)</f>
        <v>0</v>
      </c>
      <c r="E22">
        <f>SUMPRODUCT($B$2:$B$21,E2:E21)/SUM($B$2:$B$21)</f>
        <v>0</v>
      </c>
      <c r="F22">
        <f>SUMPRODUCT($B$2:$B$21,F2:F21)/SUM($B$2:$B$21)</f>
        <v>0</v>
      </c>
      <c r="G22">
        <f>SUMPRODUCT($B$2:$B$21,G2:G21)/SUM($B$2:$B$21)</f>
        <v>0</v>
      </c>
      <c r="H22">
        <f>SUMPRODUCT($B$2:$B$21,H2:H21)/SUM($B$2:$B$21)</f>
        <v>0</v>
      </c>
      <c r="I22">
        <f>SUMPRODUCT($B$2:$B$21,I2:I21)/SUM($B$2:$B$21)</f>
        <v>0</v>
      </c>
      <c r="J22">
        <f>SUMPRODUCT($B$2:$B$21,J2:J21)/SUM($B$2:$B$21)</f>
        <v>0</v>
      </c>
      <c r="K22">
        <f>SUMPRODUCT($B$2:$B$21,K2:K21)/SUM($B$2:$B$21)</f>
        <v>0</v>
      </c>
      <c r="L22">
        <f>SUMPRODUCT($B$2:$B$21,L2:L21)/SUM($B$2:$B$21)</f>
        <v>0</v>
      </c>
      <c r="M22">
        <f>SUMPRODUCT($B$2:$B$21,M2:M21)/SUM($B$2:$B$21)</f>
        <v>0</v>
      </c>
      <c r="N22">
        <f>SUMPRODUCT($B$2:$B$21,N2:N21)/SUM($B$2:$B$21)</f>
        <v>0</v>
      </c>
    </row>
    <row r="23" spans="1:14">
      <c r="A23" t="s">
        <v>24</v>
      </c>
      <c r="C23">
        <f>INDEX(TRANSPOSE(STOCKHISTORY(A23,$G$1,$H$1,0,0,1)/STOCKHISTORY(A23,$G$1,$G$1,0,0,1)),1,COLUMNS(TRANSPOSE(STOCKHISTORY(A23,$G$1,$H$1,0,0,1)/STOCKHISTORY(A23,$G$1,$G$1,0,0,1))))</f>
        <v>0</v>
      </c>
      <c r="D23" cm="1">
        <f t="array" ref="D23">TRANSPOSE(STOCKHISTORY(A23,$G$1,$H$1,0,0,1)/STOCKHISTORY(A23,$G$1,$G$1,0,0,1))</f>
        <v>0</v>
      </c>
    </row>
    <row r="25" spans="1:14">
      <c r="A25" t="s">
        <v>25</v>
      </c>
      <c r="B25">
        <f>C22-C23</f>
        <v>0</v>
      </c>
    </row>
    <row r="26" spans="1:14">
      <c r="A26" t="s">
        <v>26</v>
      </c>
    </row>
    <row r="27" spans="1:14">
      <c r="B27">
        <f>C22-C23*B26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7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G1" s="1">
        <v>46038</v>
      </c>
      <c r="H1" s="1">
        <v>46055</v>
      </c>
    </row>
    <row r="2" spans="1:8">
      <c r="A2" t="s">
        <v>27</v>
      </c>
      <c r="B2">
        <v>0.1</v>
      </c>
      <c r="C2">
        <f>INDEX(TRANSPOSE(STOCKHISTORY(A2,$G$1,$H$1,0,0,1)/STOCKHISTORY(A2,$G$1,$G$1,0,0,1)),1,COLUMNS(TRANSPOSE(STOCKHISTORY(A2,$G$1,$H$1,0,0,1)/STOCKHISTORY(A2,$G$1,$G$1,0,0,1))))</f>
        <v>0</v>
      </c>
      <c r="D2" cm="1">
        <f t="array" ref="D2">TRANSPOSE(STOCKHISTORY(A2,$G$1,$H$1,0,0,1)/STOCKHISTORY(A2,$G$1,$G$1,0,0,1))</f>
        <v>0</v>
      </c>
    </row>
    <row r="3" spans="1:8">
      <c r="A3" t="s">
        <v>11</v>
      </c>
      <c r="B3">
        <v>0.1</v>
      </c>
      <c r="C3">
        <f>INDEX(TRANSPOSE(STOCKHISTORY(A3,$G$1,$H$1,0,0,1)/STOCKHISTORY(A3,$G$1,$G$1,0,0,1)),1,COLUMNS(TRANSPOSE(STOCKHISTORY(A3,$G$1,$H$1,0,0,1)/STOCKHISTORY(A3,$G$1,$G$1,0,0,1))))</f>
        <v>0</v>
      </c>
      <c r="D3" cm="1">
        <f t="array" ref="D3">TRANSPOSE(STOCKHISTORY(A3,$G$1,$H$1,0,0,1)/STOCKHISTORY(A3,$G$1,$G$1,0,0,1))</f>
        <v>0</v>
      </c>
    </row>
    <row r="4" spans="1:8">
      <c r="A4" t="s">
        <v>4</v>
      </c>
      <c r="B4">
        <v>0.09</v>
      </c>
      <c r="C4">
        <f>INDEX(TRANSPOSE(STOCKHISTORY(A4,$G$1,$H$1,0,0,1)/STOCKHISTORY(A4,$G$1,$G$1,0,0,1)),1,COLUMNS(TRANSPOSE(STOCKHISTORY(A4,$G$1,$H$1,0,0,1)/STOCKHISTORY(A4,$G$1,$G$1,0,0,1))))</f>
        <v>0</v>
      </c>
      <c r="D4" cm="1">
        <f t="array" ref="D4">TRANSPOSE(STOCKHISTORY(A4,$G$1,$H$1,0,0,1)/STOCKHISTORY(A4,$G$1,$G$1,0,0,1))</f>
        <v>0</v>
      </c>
    </row>
    <row r="5" spans="1:8">
      <c r="A5" t="s">
        <v>5</v>
      </c>
      <c r="B5">
        <v>0.08</v>
      </c>
      <c r="C5">
        <f>INDEX(TRANSPOSE(STOCKHISTORY(A5,$G$1,$H$1,0,0,1)/STOCKHISTORY(A5,$G$1,$G$1,0,0,1)),1,COLUMNS(TRANSPOSE(STOCKHISTORY(A5,$G$1,$H$1,0,0,1)/STOCKHISTORY(A5,$G$1,$G$1,0,0,1))))</f>
        <v>0</v>
      </c>
      <c r="D5" cm="1">
        <f t="array" ref="D5">TRANSPOSE(STOCKHISTORY(A5,$G$1,$H$1,0,0,1)/STOCKHISTORY(A5,$G$1,$G$1,0,0,1))</f>
        <v>0</v>
      </c>
    </row>
    <row r="6" spans="1:8">
      <c r="A6" t="s">
        <v>15</v>
      </c>
      <c r="B6">
        <v>0.08</v>
      </c>
      <c r="C6">
        <f>INDEX(TRANSPOSE(STOCKHISTORY(A6,$G$1,$H$1,0,0,1)/STOCKHISTORY(A6,$G$1,$G$1,0,0,1)),1,COLUMNS(TRANSPOSE(STOCKHISTORY(A6,$G$1,$H$1,0,0,1)/STOCKHISTORY(A6,$G$1,$G$1,0,0,1))))</f>
        <v>0</v>
      </c>
      <c r="D6" cm="1">
        <f t="array" ref="D6">TRANSPOSE(STOCKHISTORY(A6,$G$1,$H$1,0,0,1)/STOCKHISTORY(A6,$G$1,$G$1,0,0,1))</f>
        <v>0</v>
      </c>
    </row>
    <row r="7" spans="1:8">
      <c r="A7" t="s">
        <v>28</v>
      </c>
      <c r="B7">
        <v>0.06</v>
      </c>
      <c r="C7">
        <f>INDEX(TRANSPOSE(STOCKHISTORY(A7,$G$1,$H$1,0,0,1)/STOCKHISTORY(A7,$G$1,$G$1,0,0,1)),1,COLUMNS(TRANSPOSE(STOCKHISTORY(A7,$G$1,$H$1,0,0,1)/STOCKHISTORY(A7,$G$1,$G$1,0,0,1))))</f>
        <v>0</v>
      </c>
      <c r="D7" cm="1">
        <f t="array" ref="D7">TRANSPOSE(STOCKHISTORY(A7,$G$1,$H$1,0,0,1)/STOCKHISTORY(A7,$G$1,$G$1,0,0,1))</f>
        <v>0</v>
      </c>
    </row>
    <row r="8" spans="1:8">
      <c r="A8" t="s">
        <v>9</v>
      </c>
      <c r="B8">
        <v>0.06</v>
      </c>
      <c r="C8">
        <f>INDEX(TRANSPOSE(STOCKHISTORY(A8,$G$1,$H$1,0,0,1)/STOCKHISTORY(A8,$G$1,$G$1,0,0,1)),1,COLUMNS(TRANSPOSE(STOCKHISTORY(A8,$G$1,$H$1,0,0,1)/STOCKHISTORY(A8,$G$1,$G$1,0,0,1))))</f>
        <v>0</v>
      </c>
      <c r="D8" cm="1">
        <f t="array" ref="D8">TRANSPOSE(STOCKHISTORY(A8,$G$1,$H$1,0,0,1)/STOCKHISTORY(A8,$G$1,$G$1,0,0,1))</f>
        <v>0</v>
      </c>
    </row>
    <row r="9" spans="1:8">
      <c r="A9" t="s">
        <v>29</v>
      </c>
      <c r="B9">
        <v>0.05</v>
      </c>
      <c r="C9">
        <f>INDEX(TRANSPOSE(STOCKHISTORY(A9,$G$1,$H$1,0,0,1)/STOCKHISTORY(A9,$G$1,$G$1,0,0,1)),1,COLUMNS(TRANSPOSE(STOCKHISTORY(A9,$G$1,$H$1,0,0,1)/STOCKHISTORY(A9,$G$1,$G$1,0,0,1))))</f>
        <v>0</v>
      </c>
      <c r="D9" cm="1">
        <f t="array" ref="D9">TRANSPOSE(STOCKHISTORY(A9,$G$1,$H$1,0,0,1)/STOCKHISTORY(A9,$G$1,$G$1,0,0,1))</f>
        <v>0</v>
      </c>
    </row>
    <row r="10" spans="1:8">
      <c r="A10" t="s">
        <v>19</v>
      </c>
      <c r="B10">
        <v>0.05</v>
      </c>
      <c r="C10">
        <f>INDEX(TRANSPOSE(STOCKHISTORY(A10,$G$1,$H$1,0,0,1)/STOCKHISTORY(A10,$G$1,$G$1,0,0,1)),1,COLUMNS(TRANSPOSE(STOCKHISTORY(A10,$G$1,$H$1,0,0,1)/STOCKHISTORY(A10,$G$1,$G$1,0,0,1))))</f>
        <v>0</v>
      </c>
      <c r="D10" cm="1">
        <f t="array" ref="D10">TRANSPOSE(STOCKHISTORY(A10,$G$1,$H$1,0,0,1)/STOCKHISTORY(A10,$G$1,$G$1,0,0,1))</f>
        <v>0</v>
      </c>
    </row>
    <row r="11" spans="1:8">
      <c r="A11" t="s">
        <v>17</v>
      </c>
      <c r="B11">
        <v>0.05</v>
      </c>
      <c r="C11">
        <f>INDEX(TRANSPOSE(STOCKHISTORY(A11,$G$1,$H$1,0,0,1)/STOCKHISTORY(A11,$G$1,$G$1,0,0,1)),1,COLUMNS(TRANSPOSE(STOCKHISTORY(A11,$G$1,$H$1,0,0,1)/STOCKHISTORY(A11,$G$1,$G$1,0,0,1))))</f>
        <v>0</v>
      </c>
      <c r="D11" cm="1">
        <f t="array" ref="D11">TRANSPOSE(STOCKHISTORY(A11,$G$1,$H$1,0,0,1)/STOCKHISTORY(A11,$G$1,$G$1,0,0,1))</f>
        <v>0</v>
      </c>
    </row>
    <row r="12" spans="1:8">
      <c r="A12" t="s">
        <v>30</v>
      </c>
      <c r="B12">
        <v>0.04</v>
      </c>
      <c r="C12">
        <f>INDEX(TRANSPOSE(STOCKHISTORY(A12,$G$1,$H$1,0,0,1)/STOCKHISTORY(A12,$G$1,$G$1,0,0,1)),1,COLUMNS(TRANSPOSE(STOCKHISTORY(A12,$G$1,$H$1,0,0,1)/STOCKHISTORY(A12,$G$1,$G$1,0,0,1))))</f>
        <v>0</v>
      </c>
      <c r="D12" cm="1">
        <f t="array" ref="D12">TRANSPOSE(STOCKHISTORY(A12,$G$1,$H$1,0,0,1)/STOCKHISTORY(A12,$G$1,$G$1,0,0,1))</f>
        <v>0</v>
      </c>
    </row>
    <row r="13" spans="1:8">
      <c r="A13" t="s">
        <v>21</v>
      </c>
      <c r="B13">
        <v>0.02</v>
      </c>
      <c r="C13">
        <f>INDEX(TRANSPOSE(STOCKHISTORY(A13,$G$1,$H$1,0,0,1)/STOCKHISTORY(A13,$G$1,$G$1,0,0,1)),1,COLUMNS(TRANSPOSE(STOCKHISTORY(A13,$G$1,$H$1,0,0,1)/STOCKHISTORY(A13,$G$1,$G$1,0,0,1))))</f>
        <v>0</v>
      </c>
      <c r="D13" cm="1">
        <f t="array" ref="D13">TRANSPOSE(STOCKHISTORY(A13,$G$1,$H$1,0,0,1)/STOCKHISTORY(A13,$G$1,$G$1,0,0,1))</f>
        <v>0</v>
      </c>
    </row>
    <row r="14" spans="1:8">
      <c r="A14" t="s">
        <v>31</v>
      </c>
      <c r="B14">
        <v>0.04</v>
      </c>
      <c r="C14">
        <f>INDEX(TRANSPOSE(STOCKHISTORY(A14,$G$1,$H$1,0,0,1)/STOCKHISTORY(A14,$G$1,$G$1,0,0,1)),1,COLUMNS(TRANSPOSE(STOCKHISTORY(A14,$G$1,$H$1,0,0,1)/STOCKHISTORY(A14,$G$1,$G$1,0,0,1))))</f>
        <v>0</v>
      </c>
      <c r="D14" cm="1">
        <f t="array" ref="D14">TRANSPOSE(STOCKHISTORY(A14,$G$1,$H$1,0,0,1)/STOCKHISTORY(A14,$G$1,$G$1,0,0,1))</f>
        <v>0</v>
      </c>
    </row>
    <row r="15" spans="1:8">
      <c r="A15" t="s">
        <v>32</v>
      </c>
      <c r="B15">
        <v>0.04</v>
      </c>
      <c r="C15">
        <f>INDEX(TRANSPOSE(STOCKHISTORY(A15,$G$1,$H$1,0,0,1)/STOCKHISTORY(A15,$G$1,$G$1,0,0,1)),1,COLUMNS(TRANSPOSE(STOCKHISTORY(A15,$G$1,$H$1,0,0,1)/STOCKHISTORY(A15,$G$1,$G$1,0,0,1))))</f>
        <v>0</v>
      </c>
      <c r="D15" cm="1">
        <f t="array" ref="D15">TRANSPOSE(STOCKHISTORY(A15,$G$1,$H$1,0,0,1)/STOCKHISTORY(A15,$G$1,$G$1,0,0,1))</f>
        <v>0</v>
      </c>
    </row>
    <row r="16" spans="1:8">
      <c r="A16" t="s">
        <v>33</v>
      </c>
      <c r="B16">
        <v>0.03</v>
      </c>
      <c r="C16">
        <f>INDEX(TRANSPOSE(STOCKHISTORY(A16,$G$1,$H$1,0,0,1)/STOCKHISTORY(A16,$G$1,$G$1,0,0,1)),1,COLUMNS(TRANSPOSE(STOCKHISTORY(A16,$G$1,$H$1,0,0,1)/STOCKHISTORY(A16,$G$1,$G$1,0,0,1))))</f>
        <v>0</v>
      </c>
      <c r="D16" cm="1">
        <f t="array" ref="D16">TRANSPOSE(STOCKHISTORY(A16,$G$1,$H$1,0,0,1)/STOCKHISTORY(A16,$G$1,$G$1,0,0,1))</f>
        <v>0</v>
      </c>
    </row>
    <row r="17" spans="1:14">
      <c r="A17" t="s">
        <v>34</v>
      </c>
      <c r="B17">
        <v>0.03</v>
      </c>
      <c r="C17">
        <f>INDEX(TRANSPOSE(STOCKHISTORY(A17,$G$1,$H$1,0,0,1)/STOCKHISTORY(A17,$G$1,$G$1,0,0,1)),1,COLUMNS(TRANSPOSE(STOCKHISTORY(A17,$G$1,$H$1,0,0,1)/STOCKHISTORY(A17,$G$1,$G$1,0,0,1))))</f>
        <v>0</v>
      </c>
      <c r="D17" cm="1">
        <f t="array" ref="D17">TRANSPOSE(STOCKHISTORY(A17,$G$1,$H$1,0,0,1)/STOCKHISTORY(A17,$G$1,$G$1,0,0,1))</f>
        <v>0</v>
      </c>
    </row>
    <row r="18" spans="1:14">
      <c r="A18" t="s">
        <v>18</v>
      </c>
      <c r="B18">
        <v>0.02</v>
      </c>
      <c r="C18">
        <f>INDEX(TRANSPOSE(STOCKHISTORY(A18,$G$1,$H$1,0,0,1)/STOCKHISTORY(A18,$G$1,$G$1,0,0,1)),1,COLUMNS(TRANSPOSE(STOCKHISTORY(A18,$G$1,$H$1,0,0,1)/STOCKHISTORY(A18,$G$1,$G$1,0,0,1))))</f>
        <v>0</v>
      </c>
      <c r="D18" cm="1">
        <f t="array" ref="D18">TRANSPOSE(STOCKHISTORY(A18,$G$1,$H$1,0,0,1)/STOCKHISTORY(A18,$G$1,$G$1,0,0,1))</f>
        <v>0</v>
      </c>
    </row>
    <row r="19" spans="1:14">
      <c r="A19" t="s">
        <v>35</v>
      </c>
      <c r="B19">
        <v>0.02</v>
      </c>
      <c r="C19">
        <f>INDEX(TRANSPOSE(STOCKHISTORY(A19,$G$1,$H$1,0,0,1)/STOCKHISTORY(A19,$G$1,$G$1,0,0,1)),1,COLUMNS(TRANSPOSE(STOCKHISTORY(A19,$G$1,$H$1,0,0,1)/STOCKHISTORY(A19,$G$1,$G$1,0,0,1))))</f>
        <v>0</v>
      </c>
      <c r="D19" cm="1">
        <f t="array" ref="D19">TRANSPOSE(STOCKHISTORY(A19,$G$1,$H$1,0,0,1)/STOCKHISTORY(A19,$G$1,$G$1,0,0,1))</f>
        <v>0</v>
      </c>
    </row>
    <row r="20" spans="1:14">
      <c r="A20" t="s">
        <v>7</v>
      </c>
      <c r="B20">
        <v>0.02</v>
      </c>
      <c r="C20">
        <f>INDEX(TRANSPOSE(STOCKHISTORY(A20,$G$1,$H$1,0,0,1)/STOCKHISTORY(A20,$G$1,$G$1,0,0,1)),1,COLUMNS(TRANSPOSE(STOCKHISTORY(A20,$G$1,$H$1,0,0,1)/STOCKHISTORY(A20,$G$1,$G$1,0,0,1))))</f>
        <v>0</v>
      </c>
      <c r="D20" cm="1">
        <f t="array" ref="D20">TRANSPOSE(STOCKHISTORY(A20,$G$1,$H$1,0,0,1)/STOCKHISTORY(A20,$G$1,$G$1,0,0,1))</f>
        <v>0</v>
      </c>
    </row>
    <row r="21" spans="1:14">
      <c r="A21" t="s">
        <v>8</v>
      </c>
      <c r="B21">
        <v>0.02</v>
      </c>
      <c r="C21">
        <f>INDEX(TRANSPOSE(STOCKHISTORY(A21,$G$1,$H$1,0,0,1)/STOCKHISTORY(A21,$G$1,$G$1,0,0,1)),1,COLUMNS(TRANSPOSE(STOCKHISTORY(A21,$G$1,$H$1,0,0,1)/STOCKHISTORY(A21,$G$1,$G$1,0,0,1))))</f>
        <v>0</v>
      </c>
      <c r="D21" cm="1">
        <f t="array" ref="D21">TRANSPOSE(STOCKHISTORY(A21,$G$1,$H$1,0,0,1)/STOCKHISTORY(A21,$G$1,$G$1,0,0,1))</f>
        <v>0</v>
      </c>
    </row>
    <row r="22" spans="1:14">
      <c r="A22" t="s">
        <v>23</v>
      </c>
      <c r="C22">
        <f>SUMPRODUCT(B2:B21,C2:C21)/SUM(B2:B21)</f>
        <v>0</v>
      </c>
      <c r="D22">
        <f>SUMPRODUCT($B$2:$B$21,D2:D21)/SUM($B$2:$B$21)</f>
        <v>0</v>
      </c>
      <c r="E22">
        <f>SUMPRODUCT($B$2:$B$21,E2:E21)/SUM($B$2:$B$21)</f>
        <v>0</v>
      </c>
      <c r="F22">
        <f>SUMPRODUCT($B$2:$B$21,F2:F21)/SUM($B$2:$B$21)</f>
        <v>0</v>
      </c>
      <c r="G22">
        <f>SUMPRODUCT($B$2:$B$21,G2:G21)/SUM($B$2:$B$21)</f>
        <v>0</v>
      </c>
      <c r="H22">
        <f>SUMPRODUCT($B$2:$B$21,H2:H21)/SUM($B$2:$B$21)</f>
        <v>0</v>
      </c>
      <c r="I22">
        <f>SUMPRODUCT($B$2:$B$21,I2:I21)/SUM($B$2:$B$21)</f>
        <v>0</v>
      </c>
      <c r="J22">
        <f>SUMPRODUCT($B$2:$B$21,J2:J21)/SUM($B$2:$B$21)</f>
        <v>0</v>
      </c>
      <c r="K22">
        <f>SUMPRODUCT($B$2:$B$21,K2:K21)/SUM($B$2:$B$21)</f>
        <v>0</v>
      </c>
      <c r="L22">
        <f>SUMPRODUCT($B$2:$B$21,L2:L21)/SUM($B$2:$B$21)</f>
        <v>0</v>
      </c>
      <c r="M22">
        <f>SUMPRODUCT($B$2:$B$21,M2:M21)/SUM($B$2:$B$21)</f>
        <v>0</v>
      </c>
      <c r="N22">
        <f>SUMPRODUCT($B$2:$B$21,N2:N21)/SUM($B$2:$B$21)</f>
        <v>0</v>
      </c>
    </row>
    <row r="23" spans="1:14">
      <c r="A23" t="s">
        <v>24</v>
      </c>
      <c r="C23">
        <f>INDEX(TRANSPOSE(STOCKHISTORY(A23,$G$1,$H$1,0,0,1)/STOCKHISTORY(A23,$G$1,$G$1,0,0,1)),1,COLUMNS(TRANSPOSE(STOCKHISTORY(A23,$G$1,$H$1,0,0,1)/STOCKHISTORY(A23,$G$1,$G$1,0,0,1))))</f>
        <v>0</v>
      </c>
      <c r="D23" cm="1">
        <f t="array" ref="D23">TRANSPOSE(STOCKHISTORY(A23,$G$1,$H$1,0,0,1)/STOCKHISTORY(A23,$G$1,$G$1,0,0,1))</f>
        <v>0</v>
      </c>
    </row>
    <row r="25" spans="1:14">
      <c r="A25" t="s">
        <v>25</v>
      </c>
      <c r="B25">
        <f>C22-C23</f>
        <v>0</v>
      </c>
    </row>
    <row r="26" spans="1:14">
      <c r="A26" t="s">
        <v>26</v>
      </c>
    </row>
    <row r="27" spans="1:14">
      <c r="B27">
        <f>C22-C23*B26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January 2026 (2nd-16th)</vt:lpstr>
      <vt:lpstr>January 2026 (16th-2nd)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2026-02-04T02:40:38Z</dcterms:created>
  <dcterms:modified xsi:type="dcterms:W3CDTF">2026-02-04T02:40:38Z</dcterms:modified>
</cp:coreProperties>
</file>